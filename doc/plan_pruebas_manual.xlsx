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sos de prueba" sheetId="2" state="visible" r:id="rId2"/>
  </sheets>
  <definedNames>
    <definedName name="_xlnm._FilterDatabase" localSheetId="1" hidden="1">'Casos de prueba'!$A$1:$M$170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8"/>
      <sz val="14"/>
    </font>
    <font>
      <b val="1"/>
      <color rgb="001F4E78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80808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estado</a:t>
            </a:r>
          </a:p>
        </rich>
      </tx>
    </title>
    <plotArea>
      <pieChart>
        <varyColors val="1"/>
        <ser>
          <idx val="0"/>
          <order val="0"/>
          <tx>
            <strRef>
              <f>'Resumen'!E3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BFBFBF"/>
              </a:solidFill>
              <a:ln>
                <a:prstDash val="solid"/>
              </a:ln>
            </spPr>
          </dPt>
          <dPt>
            <idx val="1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'Resumen'!$D$4:$D$6</f>
            </numRef>
          </cat>
          <val>
            <numRef>
              <f>'Resumen'!$E$4:$E$6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Avance y errores por módulo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'Resumen'!C13</f>
            </strRef>
          </tx>
          <spPr>
            <a:solidFill>
              <a:srgbClr val="BFBFBF"/>
            </a:solidFill>
            <a:ln>
              <a:prstDash val="solid"/>
            </a:ln>
          </spPr>
          <cat>
            <numRef>
              <f>'Resumen'!$A$14:$A$29</f>
            </numRef>
          </cat>
          <val>
            <numRef>
              <f>'Resumen'!$C$14:$C$29</f>
            </numRef>
          </val>
        </ser>
        <ser>
          <idx val="1"/>
          <order val="1"/>
          <tx>
            <strRef>
              <f>'Resumen'!D13</f>
            </strRef>
          </tx>
          <spPr>
            <a:solidFill>
              <a:srgbClr val="00B050"/>
            </a:solidFill>
            <a:ln>
              <a:prstDash val="solid"/>
            </a:ln>
          </spPr>
          <cat>
            <numRef>
              <f>'Resumen'!$A$14:$A$29</f>
            </numRef>
          </cat>
          <val>
            <numRef>
              <f>'Resumen'!$D$14:$D$29</f>
            </numRef>
          </val>
        </ser>
        <ser>
          <idx val="2"/>
          <order val="2"/>
          <tx>
            <strRef>
              <f>'Resumen'!E13</f>
            </strRef>
          </tx>
          <spPr>
            <a:solidFill>
              <a:srgbClr val="FF0000"/>
            </a:solidFill>
            <a:ln>
              <a:prstDash val="solid"/>
            </a:ln>
          </spPr>
          <cat>
            <numRef>
              <f>'Resumen'!$A$14:$A$29</f>
            </numRef>
          </cat>
          <val>
            <numRef>
              <f>'Resumen'!$E$14:$E$29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Plan de Pruebas — Hipoteca Joven (4013) · Seguimiento de ejecución</t>
        </is>
      </c>
    </row>
    <row r="3">
      <c r="A3" s="2" t="inlineStr">
        <is>
          <t>Indicadores globales (pasos)</t>
        </is>
      </c>
      <c r="D3" s="3" t="inlineStr">
        <is>
          <t>Estado</t>
        </is>
      </c>
      <c r="E3" s="3" t="inlineStr">
        <is>
          <t>Pasos</t>
        </is>
      </c>
    </row>
    <row r="4">
      <c r="A4" s="4" t="inlineStr">
        <is>
          <t>Total de pasos</t>
        </is>
      </c>
      <c r="B4" s="5">
        <f>COUNTA('Casos de prueba'!D2:D170)</f>
        <v/>
      </c>
      <c r="D4" s="6" t="inlineStr">
        <is>
          <t>Pendiente</t>
        </is>
      </c>
      <c r="E4" s="5">
        <f>COUNTIF('Casos de prueba'!J2:J170,"Pendiente")</f>
        <v/>
      </c>
    </row>
    <row r="5">
      <c r="A5" s="4" t="inlineStr">
        <is>
          <t>Pendientes</t>
        </is>
      </c>
      <c r="B5" s="5">
        <f>COUNTIF('Casos de prueba'!J2:J170,"Pendiente")</f>
        <v/>
      </c>
      <c r="D5" s="6" t="inlineStr">
        <is>
          <t>OK</t>
        </is>
      </c>
      <c r="E5" s="5">
        <f>COUNTIF('Casos de prueba'!J2:J170,"OK")</f>
        <v/>
      </c>
    </row>
    <row r="6">
      <c r="A6" s="4" t="inlineStr">
        <is>
          <t>OK</t>
        </is>
      </c>
      <c r="B6" s="5">
        <f>COUNTIF('Casos de prueba'!J2:J170,"OK")</f>
        <v/>
      </c>
      <c r="D6" s="6" t="inlineStr">
        <is>
          <t>KO</t>
        </is>
      </c>
      <c r="E6" s="5">
        <f>COUNTIF('Casos de prueba'!J2:J170,"KO")</f>
        <v/>
      </c>
    </row>
    <row r="7">
      <c r="A7" s="4" t="inlineStr">
        <is>
          <t>KO (incidencias)</t>
        </is>
      </c>
      <c r="B7" s="5">
        <f>COUNTIF('Casos de prueba'!J2:J170,"KO")</f>
        <v/>
      </c>
    </row>
    <row r="8">
      <c r="A8" s="4" t="inlineStr">
        <is>
          <t>% Avance (ejecutados)</t>
        </is>
      </c>
      <c r="B8" s="7">
        <f>IFERROR((COUNTIF('Casos de prueba'!J2:J170,"OK")+COUNTIF('Casos de prueba'!J2:J170,"KO"))/COUNTA('Casos de prueba'!D2:D170),0)</f>
        <v/>
      </c>
    </row>
    <row r="9">
      <c r="A9" s="4" t="inlineStr">
        <is>
          <t>% Éxito (OK/ejecutados)</t>
        </is>
      </c>
      <c r="B9" s="7">
        <f>IFERROR(COUNTIF('Casos de prueba'!J2:J170,"OK")/(COUNTIF('Casos de prueba'!J2:J170,"OK")+COUNTIF('Casos de prueba'!J2:J170,"KO")),0)</f>
        <v/>
      </c>
    </row>
    <row r="10">
      <c r="A10" s="4" t="inlineStr">
        <is>
          <t>Bugs referenciados</t>
        </is>
      </c>
      <c r="B10" s="5">
        <f>SUMPRODUCT(--('Casos de prueba'!K2:K170&lt;&gt;""))</f>
        <v/>
      </c>
    </row>
    <row r="12">
      <c r="A12" s="2" t="inlineStr">
        <is>
          <t>Desglose por módulo</t>
        </is>
      </c>
    </row>
    <row r="13">
      <c r="A13" s="8" t="inlineStr">
        <is>
          <t>Módulo</t>
        </is>
      </c>
      <c r="B13" s="8" t="inlineStr">
        <is>
          <t>Total</t>
        </is>
      </c>
      <c r="C13" s="8" t="inlineStr">
        <is>
          <t>Pendiente</t>
        </is>
      </c>
      <c r="D13" s="8" t="inlineStr">
        <is>
          <t>OK</t>
        </is>
      </c>
      <c r="E13" s="8" t="inlineStr">
        <is>
          <t>KO</t>
        </is>
      </c>
      <c r="F13" s="8" t="inlineStr">
        <is>
          <t>% Avance</t>
        </is>
      </c>
    </row>
    <row r="14">
      <c r="A14" s="9" t="inlineStr">
        <is>
          <t>Pantalla de alta de expediente</t>
        </is>
      </c>
      <c r="B14" s="5">
        <f>COUNTIF('Casos de prueba'!$A$2:$A$170,A14)</f>
        <v/>
      </c>
      <c r="C14" s="5">
        <f>COUNTIFS('Casos de prueba'!$A$2:$A$170,A14,'Casos de prueba'!$J$2:$J$170,"Pendiente")</f>
        <v/>
      </c>
      <c r="D14" s="5">
        <f>COUNTIFS('Casos de prueba'!$A$2:$A$170,A14,'Casos de prueba'!$J$2:$J$170,"OK")</f>
        <v/>
      </c>
      <c r="E14" s="5">
        <f>COUNTIFS('Casos de prueba'!$A$2:$A$170,A14,'Casos de prueba'!$J$2:$J$170,"KO")</f>
        <v/>
      </c>
      <c r="F14" s="7">
        <f>IFERROR((D14+E14)/B14,0)</f>
        <v/>
      </c>
    </row>
    <row r="15">
      <c r="A15" s="10" t="inlineStr">
        <is>
          <t>Simulador de alta</t>
        </is>
      </c>
      <c r="B15" s="11">
        <f>COUNTIF('Casos de prueba'!$A$2:$A$170,A15)</f>
        <v/>
      </c>
      <c r="C15" s="11">
        <f>COUNTIFS('Casos de prueba'!$A$2:$A$170,A15,'Casos de prueba'!$J$2:$J$170,"Pendiente")</f>
        <v/>
      </c>
      <c r="D15" s="11">
        <f>COUNTIFS('Casos de prueba'!$A$2:$A$170,A15,'Casos de prueba'!$J$2:$J$170,"OK")</f>
        <v/>
      </c>
      <c r="E15" s="11">
        <f>COUNTIFS('Casos de prueba'!$A$2:$A$170,A15,'Casos de prueba'!$J$2:$J$170,"KO")</f>
        <v/>
      </c>
      <c r="F15" s="12">
        <f>IFERROR((D15+E15)/B15,0)</f>
        <v/>
      </c>
    </row>
    <row r="16">
      <c r="A16" s="9" t="inlineStr">
        <is>
          <t>Pantalla de pre-aprobación</t>
        </is>
      </c>
      <c r="B16" s="5">
        <f>COUNTIF('Casos de prueba'!$A$2:$A$170,A16)</f>
        <v/>
      </c>
      <c r="C16" s="5">
        <f>COUNTIFS('Casos de prueba'!$A$2:$A$170,A16,'Casos de prueba'!$J$2:$J$170,"Pendiente")</f>
        <v/>
      </c>
      <c r="D16" s="5">
        <f>COUNTIFS('Casos de prueba'!$A$2:$A$170,A16,'Casos de prueba'!$J$2:$J$170,"OK")</f>
        <v/>
      </c>
      <c r="E16" s="5">
        <f>COUNTIFS('Casos de prueba'!$A$2:$A$170,A16,'Casos de prueba'!$J$2:$J$170,"KO")</f>
        <v/>
      </c>
      <c r="F16" s="7">
        <f>IFERROR((D16+E16)/B16,0)</f>
        <v/>
      </c>
    </row>
    <row r="17">
      <c r="A17" s="10" t="inlineStr">
        <is>
          <t>Pantalla de datos del expediente</t>
        </is>
      </c>
      <c r="B17" s="11">
        <f>COUNTIF('Casos de prueba'!$A$2:$A$170,A17)</f>
        <v/>
      </c>
      <c r="C17" s="11">
        <f>COUNTIFS('Casos de prueba'!$A$2:$A$170,A17,'Casos de prueba'!$J$2:$J$170,"Pendiente")</f>
        <v/>
      </c>
      <c r="D17" s="11">
        <f>COUNTIFS('Casos de prueba'!$A$2:$A$170,A17,'Casos de prueba'!$J$2:$J$170,"OK")</f>
        <v/>
      </c>
      <c r="E17" s="11">
        <f>COUNTIFS('Casos de prueba'!$A$2:$A$170,A17,'Casos de prueba'!$J$2:$J$170,"KO")</f>
        <v/>
      </c>
      <c r="F17" s="12">
        <f>IFERROR((D17+E17)/B17,0)</f>
        <v/>
      </c>
    </row>
    <row r="18">
      <c r="A18" s="9" t="inlineStr">
        <is>
          <t>Pantalla datos de Pre-aprobación</t>
        </is>
      </c>
      <c r="B18" s="5">
        <f>COUNTIF('Casos de prueba'!$A$2:$A$170,A18)</f>
        <v/>
      </c>
      <c r="C18" s="5">
        <f>COUNTIFS('Casos de prueba'!$A$2:$A$170,A18,'Casos de prueba'!$J$2:$J$170,"Pendiente")</f>
        <v/>
      </c>
      <c r="D18" s="5">
        <f>COUNTIFS('Casos de prueba'!$A$2:$A$170,A18,'Casos de prueba'!$J$2:$J$170,"OK")</f>
        <v/>
      </c>
      <c r="E18" s="5">
        <f>COUNTIFS('Casos de prueba'!$A$2:$A$170,A18,'Casos de prueba'!$J$2:$J$170,"KO")</f>
        <v/>
      </c>
      <c r="F18" s="7">
        <f>IFERROR((D18+E18)/B18,0)</f>
        <v/>
      </c>
    </row>
    <row r="19">
      <c r="A19" s="10" t="inlineStr">
        <is>
          <t>Modificación del préstamo (post-alta)</t>
        </is>
      </c>
      <c r="B19" s="11">
        <f>COUNTIF('Casos de prueba'!$A$2:$A$170,A19)</f>
        <v/>
      </c>
      <c r="C19" s="11">
        <f>COUNTIFS('Casos de prueba'!$A$2:$A$170,A19,'Casos de prueba'!$J$2:$J$170,"Pendiente")</f>
        <v/>
      </c>
      <c r="D19" s="11">
        <f>COUNTIFS('Casos de prueba'!$A$2:$A$170,A19,'Casos de prueba'!$J$2:$J$170,"OK")</f>
        <v/>
      </c>
      <c r="E19" s="11">
        <f>COUNTIFS('Casos de prueba'!$A$2:$A$170,A19,'Casos de prueba'!$J$2:$J$170,"KO")</f>
        <v/>
      </c>
      <c r="F19" s="12">
        <f>IFERROR((D19+E19)/B19,0)</f>
        <v/>
      </c>
    </row>
    <row r="20">
      <c r="A20" s="9" t="inlineStr">
        <is>
          <t>Pantalla de intervinientes</t>
        </is>
      </c>
      <c r="B20" s="5">
        <f>COUNTIF('Casos de prueba'!$A$2:$A$170,A20)</f>
        <v/>
      </c>
      <c r="C20" s="5">
        <f>COUNTIFS('Casos de prueba'!$A$2:$A$170,A20,'Casos de prueba'!$J$2:$J$170,"Pendiente")</f>
        <v/>
      </c>
      <c r="D20" s="5">
        <f>COUNTIFS('Casos de prueba'!$A$2:$A$170,A20,'Casos de prueba'!$J$2:$J$170,"OK")</f>
        <v/>
      </c>
      <c r="E20" s="5">
        <f>COUNTIFS('Casos de prueba'!$A$2:$A$170,A20,'Casos de prueba'!$J$2:$J$170,"KO")</f>
        <v/>
      </c>
      <c r="F20" s="7">
        <f>IFERROR((D20+E20)/B20,0)</f>
        <v/>
      </c>
    </row>
    <row r="21">
      <c r="A21" s="10" t="inlineStr">
        <is>
          <t>Revisión de diferencia de ingresos</t>
        </is>
      </c>
      <c r="B21" s="11">
        <f>COUNTIF('Casos de prueba'!$A$2:$A$170,A21)</f>
        <v/>
      </c>
      <c r="C21" s="11">
        <f>COUNTIFS('Casos de prueba'!$A$2:$A$170,A21,'Casos de prueba'!$J$2:$J$170,"Pendiente")</f>
        <v/>
      </c>
      <c r="D21" s="11">
        <f>COUNTIFS('Casos de prueba'!$A$2:$A$170,A21,'Casos de prueba'!$J$2:$J$170,"OK")</f>
        <v/>
      </c>
      <c r="E21" s="11">
        <f>COUNTIFS('Casos de prueba'!$A$2:$A$170,A21,'Casos de prueba'!$J$2:$J$170,"KO")</f>
        <v/>
      </c>
      <c r="F21" s="12">
        <f>IFERROR((D21+E21)/B21,0)</f>
        <v/>
      </c>
    </row>
    <row r="22">
      <c r="A22" s="9" t="inlineStr">
        <is>
          <t>Llamadas a Modellica</t>
        </is>
      </c>
      <c r="B22" s="5">
        <f>COUNTIF('Casos de prueba'!$A$2:$A$170,A22)</f>
        <v/>
      </c>
      <c r="C22" s="5">
        <f>COUNTIFS('Casos de prueba'!$A$2:$A$170,A22,'Casos de prueba'!$J$2:$J$170,"Pendiente")</f>
        <v/>
      </c>
      <c r="D22" s="5">
        <f>COUNTIFS('Casos de prueba'!$A$2:$A$170,A22,'Casos de prueba'!$J$2:$J$170,"OK")</f>
        <v/>
      </c>
      <c r="E22" s="5">
        <f>COUNTIFS('Casos de prueba'!$A$2:$A$170,A22,'Casos de prueba'!$J$2:$J$170,"KO")</f>
        <v/>
      </c>
      <c r="F22" s="7">
        <f>IFERROR((D22+E22)/B22,0)</f>
        <v/>
      </c>
    </row>
    <row r="23">
      <c r="A23" s="10" t="inlineStr">
        <is>
          <t>Alta/Actualización expedientes en Gestoría</t>
        </is>
      </c>
      <c r="B23" s="11">
        <f>COUNTIF('Casos de prueba'!$A$2:$A$170,A23)</f>
        <v/>
      </c>
      <c r="C23" s="11">
        <f>COUNTIFS('Casos de prueba'!$A$2:$A$170,A23,'Casos de prueba'!$J$2:$J$170,"Pendiente")</f>
        <v/>
      </c>
      <c r="D23" s="11">
        <f>COUNTIFS('Casos de prueba'!$A$2:$A$170,A23,'Casos de prueba'!$J$2:$J$170,"OK")</f>
        <v/>
      </c>
      <c r="E23" s="11">
        <f>COUNTIFS('Casos de prueba'!$A$2:$A$170,A23,'Casos de prueba'!$J$2:$J$170,"KO")</f>
        <v/>
      </c>
      <c r="F23" s="12">
        <f>IFERROR((D23+E23)/B23,0)</f>
        <v/>
      </c>
    </row>
    <row r="24">
      <c r="A24" s="9" t="inlineStr">
        <is>
          <t>Servicios WF (Expone WF)</t>
        </is>
      </c>
      <c r="B24" s="5">
        <f>COUNTIF('Casos de prueba'!$A$2:$A$170,A24)</f>
        <v/>
      </c>
      <c r="C24" s="5">
        <f>COUNTIFS('Casos de prueba'!$A$2:$A$170,A24,'Casos de prueba'!$J$2:$J$170,"Pendiente")</f>
        <v/>
      </c>
      <c r="D24" s="5">
        <f>COUNTIFS('Casos de prueba'!$A$2:$A$170,A24,'Casos de prueba'!$J$2:$J$170,"OK")</f>
        <v/>
      </c>
      <c r="E24" s="5">
        <f>COUNTIFS('Casos de prueba'!$A$2:$A$170,A24,'Casos de prueba'!$J$2:$J$170,"KO")</f>
        <v/>
      </c>
      <c r="F24" s="7">
        <f>IFERROR((D24+E24)/B24,0)</f>
        <v/>
      </c>
    </row>
    <row r="25">
      <c r="A25" s="10" t="inlineStr">
        <is>
          <t>Exportaciones</t>
        </is>
      </c>
      <c r="B25" s="11">
        <f>COUNTIF('Casos de prueba'!$A$2:$A$170,A25)</f>
        <v/>
      </c>
      <c r="C25" s="11">
        <f>COUNTIFS('Casos de prueba'!$A$2:$A$170,A25,'Casos de prueba'!$J$2:$J$170,"Pendiente")</f>
        <v/>
      </c>
      <c r="D25" s="11">
        <f>COUNTIFS('Casos de prueba'!$A$2:$A$170,A25,'Casos de prueba'!$J$2:$J$170,"OK")</f>
        <v/>
      </c>
      <c r="E25" s="11">
        <f>COUNTIFS('Casos de prueba'!$A$2:$A$170,A25,'Casos de prueba'!$J$2:$J$170,"KO")</f>
        <v/>
      </c>
      <c r="F25" s="12">
        <f>IFERROR((D25+E25)/B25,0)</f>
        <v/>
      </c>
    </row>
    <row r="26">
      <c r="A26" s="9" t="inlineStr">
        <is>
          <t>Generación de documentos</t>
        </is>
      </c>
      <c r="B26" s="5">
        <f>COUNTIF('Casos de prueba'!$A$2:$A$170,A26)</f>
        <v/>
      </c>
      <c r="C26" s="5">
        <f>COUNTIFS('Casos de prueba'!$A$2:$A$170,A26,'Casos de prueba'!$J$2:$J$170,"Pendiente")</f>
        <v/>
      </c>
      <c r="D26" s="5">
        <f>COUNTIFS('Casos de prueba'!$A$2:$A$170,A26,'Casos de prueba'!$J$2:$J$170,"OK")</f>
        <v/>
      </c>
      <c r="E26" s="5">
        <f>COUNTIFS('Casos de prueba'!$A$2:$A$170,A26,'Casos de prueba'!$J$2:$J$170,"KO")</f>
        <v/>
      </c>
      <c r="F26" s="7">
        <f>IFERROR((D26+E26)/B26,0)</f>
        <v/>
      </c>
    </row>
    <row r="27">
      <c r="A27" s="10" t="inlineStr">
        <is>
          <t>Desactivación de ofertas</t>
        </is>
      </c>
      <c r="B27" s="11">
        <f>COUNTIF('Casos de prueba'!$A$2:$A$170,A27)</f>
        <v/>
      </c>
      <c r="C27" s="11">
        <f>COUNTIFS('Casos de prueba'!$A$2:$A$170,A27,'Casos de prueba'!$J$2:$J$170,"Pendiente")</f>
        <v/>
      </c>
      <c r="D27" s="11">
        <f>COUNTIFS('Casos de prueba'!$A$2:$A$170,A27,'Casos de prueba'!$J$2:$J$170,"OK")</f>
        <v/>
      </c>
      <c r="E27" s="11">
        <f>COUNTIFS('Casos de prueba'!$A$2:$A$170,A27,'Casos de prueba'!$J$2:$J$170,"KO")</f>
        <v/>
      </c>
      <c r="F27" s="12">
        <f>IFERROR((D27+E27)/B27,0)</f>
        <v/>
      </c>
    </row>
    <row r="28">
      <c r="A28" s="9" t="inlineStr">
        <is>
          <t>Vigencia de parámetros y fecha de aplicación de la oferta</t>
        </is>
      </c>
      <c r="B28" s="5">
        <f>COUNTIF('Casos de prueba'!$A$2:$A$170,A28)</f>
        <v/>
      </c>
      <c r="C28" s="5">
        <f>COUNTIFS('Casos de prueba'!$A$2:$A$170,A28,'Casos de prueba'!$J$2:$J$170,"Pendiente")</f>
        <v/>
      </c>
      <c r="D28" s="5">
        <f>COUNTIFS('Casos de prueba'!$A$2:$A$170,A28,'Casos de prueba'!$J$2:$J$170,"OK")</f>
        <v/>
      </c>
      <c r="E28" s="5">
        <f>COUNTIFS('Casos de prueba'!$A$2:$A$170,A28,'Casos de prueba'!$J$2:$J$170,"KO")</f>
        <v/>
      </c>
      <c r="F28" s="7">
        <f>IFERROR((D28+E28)/B28,0)</f>
        <v/>
      </c>
    </row>
    <row r="29">
      <c r="A29" s="10" t="inlineStr">
        <is>
          <t>Regresión</t>
        </is>
      </c>
      <c r="B29" s="11">
        <f>COUNTIF('Casos de prueba'!$A$2:$A$170,A29)</f>
        <v/>
      </c>
      <c r="C29" s="11">
        <f>COUNTIFS('Casos de prueba'!$A$2:$A$170,A29,'Casos de prueba'!$J$2:$J$170,"Pendiente")</f>
        <v/>
      </c>
      <c r="D29" s="11">
        <f>COUNTIFS('Casos de prueba'!$A$2:$A$170,A29,'Casos de prueba'!$J$2:$J$170,"OK")</f>
        <v/>
      </c>
      <c r="E29" s="11">
        <f>COUNTIFS('Casos de prueba'!$A$2:$A$170,A29,'Casos de prueba'!$J$2:$J$170,"KO")</f>
        <v/>
      </c>
      <c r="F29" s="12">
        <f>IFERROR((D29+E29)/B29,0)</f>
        <v/>
      </c>
    </row>
    <row r="32">
      <c r="A32" s="2" t="inlineStr">
        <is>
          <t>Desglose por caso</t>
        </is>
      </c>
    </row>
    <row r="33">
      <c r="A33" s="8" t="inlineStr">
        <is>
          <t>ID-CASO</t>
        </is>
      </c>
      <c r="B33" s="8" t="inlineStr">
        <is>
          <t>Caso</t>
        </is>
      </c>
      <c r="C33" s="8" t="inlineStr">
        <is>
          <t>Total</t>
        </is>
      </c>
      <c r="D33" s="8" t="inlineStr">
        <is>
          <t>Pend.</t>
        </is>
      </c>
      <c r="E33" s="8" t="inlineStr">
        <is>
          <t>OK</t>
        </is>
      </c>
      <c r="F33" s="8" t="inlineStr">
        <is>
          <t>KO</t>
        </is>
      </c>
      <c r="G33" s="8" t="inlineStr">
        <is>
          <t>% Avance</t>
        </is>
      </c>
      <c r="H33" s="8" t="inlineStr">
        <is>
          <t>Estado caso</t>
        </is>
      </c>
    </row>
    <row r="34">
      <c r="A34" s="5" t="inlineStr">
        <is>
          <t>CU-01</t>
        </is>
      </c>
      <c r="B34" s="9" t="inlineStr">
        <is>
          <t>Nuevos campos en el formulario</t>
        </is>
      </c>
      <c r="C34" s="5">
        <f>COUNTIF('Casos de prueba'!$B$2:$B$170,A34)</f>
        <v/>
      </c>
      <c r="D34" s="5">
        <f>COUNTIFS('Casos de prueba'!$B$2:$B$170,A34,'Casos de prueba'!$J$2:$J$170,"Pendiente")</f>
        <v/>
      </c>
      <c r="E34" s="5">
        <f>COUNTIFS('Casos de prueba'!$B$2:$B$170,A34,'Casos de prueba'!$J$2:$J$170,"OK")</f>
        <v/>
      </c>
      <c r="F34" s="5">
        <f>COUNTIFS('Casos de prueba'!$B$2:$B$170,A34,'Casos de prueba'!$J$2:$J$170,"KO")</f>
        <v/>
      </c>
      <c r="G34" s="7">
        <f>IFERROR((E34+F34)/C34,0)</f>
        <v/>
      </c>
      <c r="H34" s="5">
        <f>IF(F34&gt;0,"KO",IF(D34&gt;0,"En curso","OK"))</f>
        <v/>
      </c>
    </row>
    <row r="35">
      <c r="A35" s="11" t="inlineStr">
        <is>
          <t>CU-02</t>
        </is>
      </c>
      <c r="B35" s="10" t="inlineStr">
        <is>
          <t>Integración con datos externos</t>
        </is>
      </c>
      <c r="C35" s="11">
        <f>COUNTIF('Casos de prueba'!$B$2:$B$170,A35)</f>
        <v/>
      </c>
      <c r="D35" s="11">
        <f>COUNTIFS('Casos de prueba'!$B$2:$B$170,A35,'Casos de prueba'!$J$2:$J$170,"Pendiente")</f>
        <v/>
      </c>
      <c r="E35" s="11">
        <f>COUNTIFS('Casos de prueba'!$B$2:$B$170,A35,'Casos de prueba'!$J$2:$J$170,"OK")</f>
        <v/>
      </c>
      <c r="F35" s="11">
        <f>COUNTIFS('Casos de prueba'!$B$2:$B$170,A35,'Casos de prueba'!$J$2:$J$170,"KO")</f>
        <v/>
      </c>
      <c r="G35" s="12">
        <f>IFERROR((E35+F35)/C35,0)</f>
        <v/>
      </c>
      <c r="H35" s="11">
        <f>IF(F35&gt;0,"KO",IF(D35&gt;0,"En curso","OK"))</f>
        <v/>
      </c>
    </row>
    <row r="36">
      <c r="A36" s="5" t="inlineStr">
        <is>
          <t>CU-03</t>
        </is>
      </c>
      <c r="B36" s="9" t="inlineStr">
        <is>
          <t>Evaluación INIT y navegación</t>
        </is>
      </c>
      <c r="C36" s="5">
        <f>COUNTIF('Casos de prueba'!$B$2:$B$170,A36)</f>
        <v/>
      </c>
      <c r="D36" s="5">
        <f>COUNTIFS('Casos de prueba'!$B$2:$B$170,A36,'Casos de prueba'!$J$2:$J$170,"Pendiente")</f>
        <v/>
      </c>
      <c r="E36" s="5">
        <f>COUNTIFS('Casos de prueba'!$B$2:$B$170,A36,'Casos de prueba'!$J$2:$J$170,"OK")</f>
        <v/>
      </c>
      <c r="F36" s="5">
        <f>COUNTIFS('Casos de prueba'!$B$2:$B$170,A36,'Casos de prueba'!$J$2:$J$170,"KO")</f>
        <v/>
      </c>
      <c r="G36" s="7">
        <f>IFERROR((E36+F36)/C36,0)</f>
        <v/>
      </c>
      <c r="H36" s="5">
        <f>IF(F36&gt;0,"KO",IF(D36&gt;0,"En curso","OK"))</f>
        <v/>
      </c>
    </row>
    <row r="37">
      <c r="A37" s="11" t="inlineStr">
        <is>
          <t>CU-04</t>
        </is>
      </c>
      <c r="B37" s="10" t="inlineStr">
        <is>
          <t>Bloques de datos y pop-ups de edición</t>
        </is>
      </c>
      <c r="C37" s="11">
        <f>COUNTIF('Casos de prueba'!$B$2:$B$170,A37)</f>
        <v/>
      </c>
      <c r="D37" s="11">
        <f>COUNTIFS('Casos de prueba'!$B$2:$B$170,A37,'Casos de prueba'!$J$2:$J$170,"Pendiente")</f>
        <v/>
      </c>
      <c r="E37" s="11">
        <f>COUNTIFS('Casos de prueba'!$B$2:$B$170,A37,'Casos de prueba'!$J$2:$J$170,"OK")</f>
        <v/>
      </c>
      <c r="F37" s="11">
        <f>COUNTIFS('Casos de prueba'!$B$2:$B$170,A37,'Casos de prueba'!$J$2:$J$170,"KO")</f>
        <v/>
      </c>
      <c r="G37" s="12">
        <f>IFERROR((E37+F37)/C37,0)</f>
        <v/>
      </c>
      <c r="H37" s="11">
        <f>IF(F37&gt;0,"KO",IF(D37&gt;0,"En curso","OK"))</f>
        <v/>
      </c>
    </row>
    <row r="38">
      <c r="A38" s="5" t="inlineStr">
        <is>
          <t>CU-05</t>
        </is>
      </c>
      <c r="B38" s="9" t="inlineStr">
        <is>
          <t>Evaluación PRE</t>
        </is>
      </c>
      <c r="C38" s="5">
        <f>COUNTIF('Casos de prueba'!$B$2:$B$170,A38)</f>
        <v/>
      </c>
      <c r="D38" s="5">
        <f>COUNTIFS('Casos de prueba'!$B$2:$B$170,A38,'Casos de prueba'!$J$2:$J$170,"Pendiente")</f>
        <v/>
      </c>
      <c r="E38" s="5">
        <f>COUNTIFS('Casos de prueba'!$B$2:$B$170,A38,'Casos de prueba'!$J$2:$J$170,"OK")</f>
        <v/>
      </c>
      <c r="F38" s="5">
        <f>COUNTIFS('Casos de prueba'!$B$2:$B$170,A38,'Casos de prueba'!$J$2:$J$170,"KO")</f>
        <v/>
      </c>
      <c r="G38" s="7">
        <f>IFERROR((E38+F38)/C38,0)</f>
        <v/>
      </c>
      <c r="H38" s="5">
        <f>IF(F38&gt;0,"KO",IF(D38&gt;0,"En curso","OK"))</f>
        <v/>
      </c>
    </row>
    <row r="39">
      <c r="A39" s="11" t="inlineStr">
        <is>
          <t>CU-06</t>
        </is>
      </c>
      <c r="B39" s="10" t="inlineStr">
        <is>
          <t>Flag SOLICITAR_DATOS_INTERVINIENTES</t>
        </is>
      </c>
      <c r="C39" s="11">
        <f>COUNTIF('Casos de prueba'!$B$2:$B$170,A39)</f>
        <v/>
      </c>
      <c r="D39" s="11">
        <f>COUNTIFS('Casos de prueba'!$B$2:$B$170,A39,'Casos de prueba'!$J$2:$J$170,"Pendiente")</f>
        <v/>
      </c>
      <c r="E39" s="11">
        <f>COUNTIFS('Casos de prueba'!$B$2:$B$170,A39,'Casos de prueba'!$J$2:$J$170,"OK")</f>
        <v/>
      </c>
      <c r="F39" s="11">
        <f>COUNTIFS('Casos de prueba'!$B$2:$B$170,A39,'Casos de prueba'!$J$2:$J$170,"KO")</f>
        <v/>
      </c>
      <c r="G39" s="12">
        <f>IFERROR((E39+F39)/C39,0)</f>
        <v/>
      </c>
      <c r="H39" s="11">
        <f>IF(F39&gt;0,"KO",IF(D39&gt;0,"En curso","OK"))</f>
        <v/>
      </c>
    </row>
    <row r="40">
      <c r="A40" s="5" t="inlineStr">
        <is>
          <t>CU-07</t>
        </is>
      </c>
      <c r="B40" s="9" t="inlineStr">
        <is>
          <t>Evaluación FINAL y visualización de ofertas</t>
        </is>
      </c>
      <c r="C40" s="5">
        <f>COUNTIF('Casos de prueba'!$B$2:$B$170,A40)</f>
        <v/>
      </c>
      <c r="D40" s="5">
        <f>COUNTIFS('Casos de prueba'!$B$2:$B$170,A40,'Casos de prueba'!$J$2:$J$170,"Pendiente")</f>
        <v/>
      </c>
      <c r="E40" s="5">
        <f>COUNTIFS('Casos de prueba'!$B$2:$B$170,A40,'Casos de prueba'!$J$2:$J$170,"OK")</f>
        <v/>
      </c>
      <c r="F40" s="5">
        <f>COUNTIFS('Casos de prueba'!$B$2:$B$170,A40,'Casos de prueba'!$J$2:$J$170,"KO")</f>
        <v/>
      </c>
      <c r="G40" s="7">
        <f>IFERROR((E40+F40)/C40,0)</f>
        <v/>
      </c>
      <c r="H40" s="5">
        <f>IF(F40&gt;0,"KO",IF(D40&gt;0,"En curso","OK"))</f>
        <v/>
      </c>
    </row>
    <row r="41">
      <c r="A41" s="11" t="inlineStr">
        <is>
          <t>CU-08</t>
        </is>
      </c>
      <c r="B41" s="10" t="inlineStr">
        <is>
          <t>Ajuste automático de importes y plazos</t>
        </is>
      </c>
      <c r="C41" s="11">
        <f>COUNTIF('Casos de prueba'!$B$2:$B$170,A41)</f>
        <v/>
      </c>
      <c r="D41" s="11">
        <f>COUNTIFS('Casos de prueba'!$B$2:$B$170,A41,'Casos de prueba'!$J$2:$J$170,"Pendiente")</f>
        <v/>
      </c>
      <c r="E41" s="11">
        <f>COUNTIFS('Casos de prueba'!$B$2:$B$170,A41,'Casos de prueba'!$J$2:$J$170,"OK")</f>
        <v/>
      </c>
      <c r="F41" s="11">
        <f>COUNTIFS('Casos de prueba'!$B$2:$B$170,A41,'Casos de prueba'!$J$2:$J$170,"KO")</f>
        <v/>
      </c>
      <c r="G41" s="12">
        <f>IFERROR((E41+F41)/C41,0)</f>
        <v/>
      </c>
      <c r="H41" s="11">
        <f>IF(F41&gt;0,"KO",IF(D41&gt;0,"En curso","OK"))</f>
        <v/>
      </c>
    </row>
    <row r="42">
      <c r="A42" s="5" t="inlineStr">
        <is>
          <t>CU-09</t>
        </is>
      </c>
      <c r="B42" s="9" t="inlineStr">
        <is>
          <t>Pantalla de pre-aprobación</t>
        </is>
      </c>
      <c r="C42" s="5">
        <f>COUNTIF('Casos de prueba'!$B$2:$B$170,A42)</f>
        <v/>
      </c>
      <c r="D42" s="5">
        <f>COUNTIFS('Casos de prueba'!$B$2:$B$170,A42,'Casos de prueba'!$J$2:$J$170,"Pendiente")</f>
        <v/>
      </c>
      <c r="E42" s="5">
        <f>COUNTIFS('Casos de prueba'!$B$2:$B$170,A42,'Casos de prueba'!$J$2:$J$170,"OK")</f>
        <v/>
      </c>
      <c r="F42" s="5">
        <f>COUNTIFS('Casos de prueba'!$B$2:$B$170,A42,'Casos de prueba'!$J$2:$J$170,"KO")</f>
        <v/>
      </c>
      <c r="G42" s="7">
        <f>IFERROR((E42+F42)/C42,0)</f>
        <v/>
      </c>
      <c r="H42" s="5">
        <f>IF(F42&gt;0,"KO",IF(D42&gt;0,"En curso","OK"))</f>
        <v/>
      </c>
    </row>
    <row r="43">
      <c r="A43" s="11" t="inlineStr">
        <is>
          <t>CU-10</t>
        </is>
      </c>
      <c r="B43" s="10" t="inlineStr">
        <is>
          <t>Pantalla de datos del expediente</t>
        </is>
      </c>
      <c r="C43" s="11">
        <f>COUNTIF('Casos de prueba'!$B$2:$B$170,A43)</f>
        <v/>
      </c>
      <c r="D43" s="11">
        <f>COUNTIFS('Casos de prueba'!$B$2:$B$170,A43,'Casos de prueba'!$J$2:$J$170,"Pendiente")</f>
        <v/>
      </c>
      <c r="E43" s="11">
        <f>COUNTIFS('Casos de prueba'!$B$2:$B$170,A43,'Casos de prueba'!$J$2:$J$170,"OK")</f>
        <v/>
      </c>
      <c r="F43" s="11">
        <f>COUNTIFS('Casos de prueba'!$B$2:$B$170,A43,'Casos de prueba'!$J$2:$J$170,"KO")</f>
        <v/>
      </c>
      <c r="G43" s="12">
        <f>IFERROR((E43+F43)/C43,0)</f>
        <v/>
      </c>
      <c r="H43" s="11">
        <f>IF(F43&gt;0,"KO",IF(D43&gt;0,"En curso","OK"))</f>
        <v/>
      </c>
    </row>
    <row r="44">
      <c r="A44" s="5" t="inlineStr">
        <is>
          <t>CU-11</t>
        </is>
      </c>
      <c r="B44" s="9" t="inlineStr">
        <is>
          <t>Pantalla datos de Pre-aprobación</t>
        </is>
      </c>
      <c r="C44" s="5">
        <f>COUNTIF('Casos de prueba'!$B$2:$B$170,A44)</f>
        <v/>
      </c>
      <c r="D44" s="5">
        <f>COUNTIFS('Casos de prueba'!$B$2:$B$170,A44,'Casos de prueba'!$J$2:$J$170,"Pendiente")</f>
        <v/>
      </c>
      <c r="E44" s="5">
        <f>COUNTIFS('Casos de prueba'!$B$2:$B$170,A44,'Casos de prueba'!$J$2:$J$170,"OK")</f>
        <v/>
      </c>
      <c r="F44" s="5">
        <f>COUNTIFS('Casos de prueba'!$B$2:$B$170,A44,'Casos de prueba'!$J$2:$J$170,"KO")</f>
        <v/>
      </c>
      <c r="G44" s="7">
        <f>IFERROR((E44+F44)/C44,0)</f>
        <v/>
      </c>
      <c r="H44" s="5">
        <f>IF(F44&gt;0,"KO",IF(D44&gt;0,"En curso","OK"))</f>
        <v/>
      </c>
    </row>
    <row r="45">
      <c r="A45" s="11" t="inlineStr">
        <is>
          <t>CU-12</t>
        </is>
      </c>
      <c r="B45" s="10" t="inlineStr">
        <is>
          <t>Modificación del préstamo (post-alta)</t>
        </is>
      </c>
      <c r="C45" s="11">
        <f>COUNTIF('Casos de prueba'!$B$2:$B$170,A45)</f>
        <v/>
      </c>
      <c r="D45" s="11">
        <f>COUNTIFS('Casos de prueba'!$B$2:$B$170,A45,'Casos de prueba'!$J$2:$J$170,"Pendiente")</f>
        <v/>
      </c>
      <c r="E45" s="11">
        <f>COUNTIFS('Casos de prueba'!$B$2:$B$170,A45,'Casos de prueba'!$J$2:$J$170,"OK")</f>
        <v/>
      </c>
      <c r="F45" s="11">
        <f>COUNTIFS('Casos de prueba'!$B$2:$B$170,A45,'Casos de prueba'!$J$2:$J$170,"KO")</f>
        <v/>
      </c>
      <c r="G45" s="12">
        <f>IFERROR((E45+F45)/C45,0)</f>
        <v/>
      </c>
      <c r="H45" s="11">
        <f>IF(F45&gt;0,"KO",IF(D45&gt;0,"En curso","OK"))</f>
        <v/>
      </c>
    </row>
    <row r="46">
      <c r="A46" s="5" t="inlineStr">
        <is>
          <t>CU-13</t>
        </is>
      </c>
      <c r="B46" s="9" t="inlineStr">
        <is>
          <t>Pantalla de intervinientes</t>
        </is>
      </c>
      <c r="C46" s="5">
        <f>COUNTIF('Casos de prueba'!$B$2:$B$170,A46)</f>
        <v/>
      </c>
      <c r="D46" s="5">
        <f>COUNTIFS('Casos de prueba'!$B$2:$B$170,A46,'Casos de prueba'!$J$2:$J$170,"Pendiente")</f>
        <v/>
      </c>
      <c r="E46" s="5">
        <f>COUNTIFS('Casos de prueba'!$B$2:$B$170,A46,'Casos de prueba'!$J$2:$J$170,"OK")</f>
        <v/>
      </c>
      <c r="F46" s="5">
        <f>COUNTIFS('Casos de prueba'!$B$2:$B$170,A46,'Casos de prueba'!$J$2:$J$170,"KO")</f>
        <v/>
      </c>
      <c r="G46" s="7">
        <f>IFERROR((E46+F46)/C46,0)</f>
        <v/>
      </c>
      <c r="H46" s="5">
        <f>IF(F46&gt;0,"KO",IF(D46&gt;0,"En curso","OK"))</f>
        <v/>
      </c>
    </row>
    <row r="47">
      <c r="A47" s="11" t="inlineStr">
        <is>
          <t>CU-14</t>
        </is>
      </c>
      <c r="B47" s="10" t="inlineStr">
        <is>
          <t>Revisión de diferencia de ingresos</t>
        </is>
      </c>
      <c r="C47" s="11">
        <f>COUNTIF('Casos de prueba'!$B$2:$B$170,A47)</f>
        <v/>
      </c>
      <c r="D47" s="11">
        <f>COUNTIFS('Casos de prueba'!$B$2:$B$170,A47,'Casos de prueba'!$J$2:$J$170,"Pendiente")</f>
        <v/>
      </c>
      <c r="E47" s="11">
        <f>COUNTIFS('Casos de prueba'!$B$2:$B$170,A47,'Casos de prueba'!$J$2:$J$170,"OK")</f>
        <v/>
      </c>
      <c r="F47" s="11">
        <f>COUNTIFS('Casos de prueba'!$B$2:$B$170,A47,'Casos de prueba'!$J$2:$J$170,"KO")</f>
        <v/>
      </c>
      <c r="G47" s="12">
        <f>IFERROR((E47+F47)/C47,0)</f>
        <v/>
      </c>
      <c r="H47" s="11">
        <f>IF(F47&gt;0,"KO",IF(D47&gt;0,"En curso","OK"))</f>
        <v/>
      </c>
    </row>
    <row r="48">
      <c r="A48" s="5" t="inlineStr">
        <is>
          <t>CU-15</t>
        </is>
      </c>
      <c r="B48" s="9" t="inlineStr">
        <is>
          <t>Llamadas a Modellica</t>
        </is>
      </c>
      <c r="C48" s="5">
        <f>COUNTIF('Casos de prueba'!$B$2:$B$170,A48)</f>
        <v/>
      </c>
      <c r="D48" s="5">
        <f>COUNTIFS('Casos de prueba'!$B$2:$B$170,A48,'Casos de prueba'!$J$2:$J$170,"Pendiente")</f>
        <v/>
      </c>
      <c r="E48" s="5">
        <f>COUNTIFS('Casos de prueba'!$B$2:$B$170,A48,'Casos de prueba'!$J$2:$J$170,"OK")</f>
        <v/>
      </c>
      <c r="F48" s="5">
        <f>COUNTIFS('Casos de prueba'!$B$2:$B$170,A48,'Casos de prueba'!$J$2:$J$170,"KO")</f>
        <v/>
      </c>
      <c r="G48" s="7">
        <f>IFERROR((E48+F48)/C48,0)</f>
        <v/>
      </c>
      <c r="H48" s="5">
        <f>IF(F48&gt;0,"KO",IF(D48&gt;0,"En curso","OK"))</f>
        <v/>
      </c>
    </row>
    <row r="49">
      <c r="A49" s="11" t="inlineStr">
        <is>
          <t>CU-16</t>
        </is>
      </c>
      <c r="B49" s="10" t="inlineStr">
        <is>
          <t>Alta/Actualización expedientes en Gestoría</t>
        </is>
      </c>
      <c r="C49" s="11">
        <f>COUNTIF('Casos de prueba'!$B$2:$B$170,A49)</f>
        <v/>
      </c>
      <c r="D49" s="11">
        <f>COUNTIFS('Casos de prueba'!$B$2:$B$170,A49,'Casos de prueba'!$J$2:$J$170,"Pendiente")</f>
        <v/>
      </c>
      <c r="E49" s="11">
        <f>COUNTIFS('Casos de prueba'!$B$2:$B$170,A49,'Casos de prueba'!$J$2:$J$170,"OK")</f>
        <v/>
      </c>
      <c r="F49" s="11">
        <f>COUNTIFS('Casos de prueba'!$B$2:$B$170,A49,'Casos de prueba'!$J$2:$J$170,"KO")</f>
        <v/>
      </c>
      <c r="G49" s="12">
        <f>IFERROR((E49+F49)/C49,0)</f>
        <v/>
      </c>
      <c r="H49" s="11">
        <f>IF(F49&gt;0,"KO",IF(D49&gt;0,"En curso","OK"))</f>
        <v/>
      </c>
    </row>
    <row r="50">
      <c r="A50" s="5" t="inlineStr">
        <is>
          <t>CU-17</t>
        </is>
      </c>
      <c r="B50" s="9" t="inlineStr">
        <is>
          <t>Servicios WF (Expone WF)</t>
        </is>
      </c>
      <c r="C50" s="5">
        <f>COUNTIF('Casos de prueba'!$B$2:$B$170,A50)</f>
        <v/>
      </c>
      <c r="D50" s="5">
        <f>COUNTIFS('Casos de prueba'!$B$2:$B$170,A50,'Casos de prueba'!$J$2:$J$170,"Pendiente")</f>
        <v/>
      </c>
      <c r="E50" s="5">
        <f>COUNTIFS('Casos de prueba'!$B$2:$B$170,A50,'Casos de prueba'!$J$2:$J$170,"OK")</f>
        <v/>
      </c>
      <c r="F50" s="5">
        <f>COUNTIFS('Casos de prueba'!$B$2:$B$170,A50,'Casos de prueba'!$J$2:$J$170,"KO")</f>
        <v/>
      </c>
      <c r="G50" s="7">
        <f>IFERROR((E50+F50)/C50,0)</f>
        <v/>
      </c>
      <c r="H50" s="5">
        <f>IF(F50&gt;0,"KO",IF(D50&gt;0,"En curso","OK"))</f>
        <v/>
      </c>
    </row>
    <row r="51">
      <c r="A51" s="11" t="inlineStr">
        <is>
          <t>CU-18</t>
        </is>
      </c>
      <c r="B51" s="10" t="inlineStr">
        <is>
          <t>Exportación ExpedientesProducto</t>
        </is>
      </c>
      <c r="C51" s="11">
        <f>COUNTIF('Casos de prueba'!$B$2:$B$170,A51)</f>
        <v/>
      </c>
      <c r="D51" s="11">
        <f>COUNTIFS('Casos de prueba'!$B$2:$B$170,A51,'Casos de prueba'!$J$2:$J$170,"Pendiente")</f>
        <v/>
      </c>
      <c r="E51" s="11">
        <f>COUNTIFS('Casos de prueba'!$B$2:$B$170,A51,'Casos de prueba'!$J$2:$J$170,"OK")</f>
        <v/>
      </c>
      <c r="F51" s="11">
        <f>COUNTIFS('Casos de prueba'!$B$2:$B$170,A51,'Casos de prueba'!$J$2:$J$170,"KO")</f>
        <v/>
      </c>
      <c r="G51" s="12">
        <f>IFERROR((E51+F51)/C51,0)</f>
        <v/>
      </c>
      <c r="H51" s="11">
        <f>IF(F51&gt;0,"KO",IF(D51&gt;0,"En curso","OK"))</f>
        <v/>
      </c>
    </row>
    <row r="52">
      <c r="A52" s="5" t="inlineStr">
        <is>
          <t>CU-19</t>
        </is>
      </c>
      <c r="B52" s="9" t="inlineStr">
        <is>
          <t>Exportación RiesgoModellicaLlamadas</t>
        </is>
      </c>
      <c r="C52" s="5">
        <f>COUNTIF('Casos de prueba'!$B$2:$B$170,A52)</f>
        <v/>
      </c>
      <c r="D52" s="5">
        <f>COUNTIFS('Casos de prueba'!$B$2:$B$170,A52,'Casos de prueba'!$J$2:$J$170,"Pendiente")</f>
        <v/>
      </c>
      <c r="E52" s="5">
        <f>COUNTIFS('Casos de prueba'!$B$2:$B$170,A52,'Casos de prueba'!$J$2:$J$170,"OK")</f>
        <v/>
      </c>
      <c r="F52" s="5">
        <f>COUNTIFS('Casos de prueba'!$B$2:$B$170,A52,'Casos de prueba'!$J$2:$J$170,"KO")</f>
        <v/>
      </c>
      <c r="G52" s="7">
        <f>IFERROR((E52+F52)/C52,0)</f>
        <v/>
      </c>
      <c r="H52" s="5">
        <f>IF(F52&gt;0,"KO",IF(D52&gt;0,"En curso","OK"))</f>
        <v/>
      </c>
    </row>
    <row r="53">
      <c r="A53" s="11" t="inlineStr">
        <is>
          <t>CU-20</t>
        </is>
      </c>
      <c r="B53" s="10" t="inlineStr">
        <is>
          <t>Servicio Generar-Documento (objeto cabecera)</t>
        </is>
      </c>
      <c r="C53" s="11">
        <f>COUNTIF('Casos de prueba'!$B$2:$B$170,A53)</f>
        <v/>
      </c>
      <c r="D53" s="11">
        <f>COUNTIFS('Casos de prueba'!$B$2:$B$170,A53,'Casos de prueba'!$J$2:$J$170,"Pendiente")</f>
        <v/>
      </c>
      <c r="E53" s="11">
        <f>COUNTIFS('Casos de prueba'!$B$2:$B$170,A53,'Casos de prueba'!$J$2:$J$170,"OK")</f>
        <v/>
      </c>
      <c r="F53" s="11">
        <f>COUNTIFS('Casos de prueba'!$B$2:$B$170,A53,'Casos de prueba'!$J$2:$J$170,"KO")</f>
        <v/>
      </c>
      <c r="G53" s="12">
        <f>IFERROR((E53+F53)/C53,0)</f>
        <v/>
      </c>
      <c r="H53" s="11">
        <f>IF(F53&gt;0,"KO",IF(D53&gt;0,"En curso","OK"))</f>
        <v/>
      </c>
    </row>
    <row r="54">
      <c r="A54" s="5" t="inlineStr">
        <is>
          <t>CU-21</t>
        </is>
      </c>
      <c r="B54" s="9" t="inlineStr">
        <is>
          <t>Servicio carta de Pre-Aprobación</t>
        </is>
      </c>
      <c r="C54" s="5">
        <f>COUNTIF('Casos de prueba'!$B$2:$B$170,A54)</f>
        <v/>
      </c>
      <c r="D54" s="5">
        <f>COUNTIFS('Casos de prueba'!$B$2:$B$170,A54,'Casos de prueba'!$J$2:$J$170,"Pendiente")</f>
        <v/>
      </c>
      <c r="E54" s="5">
        <f>COUNTIFS('Casos de prueba'!$B$2:$B$170,A54,'Casos de prueba'!$J$2:$J$170,"OK")</f>
        <v/>
      </c>
      <c r="F54" s="5">
        <f>COUNTIFS('Casos de prueba'!$B$2:$B$170,A54,'Casos de prueba'!$J$2:$J$170,"KO")</f>
        <v/>
      </c>
      <c r="G54" s="7">
        <f>IFERROR((E54+F54)/C54,0)</f>
        <v/>
      </c>
      <c r="H54" s="5">
        <f>IF(F54&gt;0,"KO",IF(D54&gt;0,"En curso","OK"))</f>
        <v/>
      </c>
    </row>
    <row r="55">
      <c r="A55" s="11" t="inlineStr">
        <is>
          <t>CU-22</t>
        </is>
      </c>
      <c r="B55" s="10" t="inlineStr">
        <is>
          <t>Desactivación y visibilidad de ofertas</t>
        </is>
      </c>
      <c r="C55" s="11">
        <f>COUNTIF('Casos de prueba'!$B$2:$B$170,A55)</f>
        <v/>
      </c>
      <c r="D55" s="11">
        <f>COUNTIFS('Casos de prueba'!$B$2:$B$170,A55,'Casos de prueba'!$J$2:$J$170,"Pendiente")</f>
        <v/>
      </c>
      <c r="E55" s="11">
        <f>COUNTIFS('Casos de prueba'!$B$2:$B$170,A55,'Casos de prueba'!$J$2:$J$170,"OK")</f>
        <v/>
      </c>
      <c r="F55" s="11">
        <f>COUNTIFS('Casos de prueba'!$B$2:$B$170,A55,'Casos de prueba'!$J$2:$J$170,"KO")</f>
        <v/>
      </c>
      <c r="G55" s="12">
        <f>IFERROR((E55+F55)/C55,0)</f>
        <v/>
      </c>
      <c r="H55" s="11">
        <f>IF(F55&gt;0,"KO",IF(D55&gt;0,"En curso","OK"))</f>
        <v/>
      </c>
    </row>
    <row r="56">
      <c r="A56" s="5" t="inlineStr">
        <is>
          <t>CU-23</t>
        </is>
      </c>
      <c r="B56" s="9" t="inlineStr">
        <is>
          <t>Flag MANTIENE_OFERTA_FL en el expediente</t>
        </is>
      </c>
      <c r="C56" s="5">
        <f>COUNTIF('Casos de prueba'!$B$2:$B$170,A56)</f>
        <v/>
      </c>
      <c r="D56" s="5">
        <f>COUNTIFS('Casos de prueba'!$B$2:$B$170,A56,'Casos de prueba'!$J$2:$J$170,"Pendiente")</f>
        <v/>
      </c>
      <c r="E56" s="5">
        <f>COUNTIFS('Casos de prueba'!$B$2:$B$170,A56,'Casos de prueba'!$J$2:$J$170,"OK")</f>
        <v/>
      </c>
      <c r="F56" s="5">
        <f>COUNTIFS('Casos de prueba'!$B$2:$B$170,A56,'Casos de prueba'!$J$2:$J$170,"KO")</f>
        <v/>
      </c>
      <c r="G56" s="7">
        <f>IFERROR((E56+F56)/C56,0)</f>
        <v/>
      </c>
      <c r="H56" s="5">
        <f>IF(F56&gt;0,"KO",IF(D56&gt;0,"En curso","OK"))</f>
        <v/>
      </c>
    </row>
    <row r="57">
      <c r="A57" s="11" t="inlineStr">
        <is>
          <t>CU-24</t>
        </is>
      </c>
      <c r="B57" s="10" t="inlineStr">
        <is>
          <t>Resimulación con MANTIENE_OFERTA_FL = 1</t>
        </is>
      </c>
      <c r="C57" s="11">
        <f>COUNTIF('Casos de prueba'!$B$2:$B$170,A57)</f>
        <v/>
      </c>
      <c r="D57" s="11">
        <f>COUNTIFS('Casos de prueba'!$B$2:$B$170,A57,'Casos de prueba'!$J$2:$J$170,"Pendiente")</f>
        <v/>
      </c>
      <c r="E57" s="11">
        <f>COUNTIFS('Casos de prueba'!$B$2:$B$170,A57,'Casos de prueba'!$J$2:$J$170,"OK")</f>
        <v/>
      </c>
      <c r="F57" s="11">
        <f>COUNTIFS('Casos de prueba'!$B$2:$B$170,A57,'Casos de prueba'!$J$2:$J$170,"KO")</f>
        <v/>
      </c>
      <c r="G57" s="12">
        <f>IFERROR((E57+F57)/C57,0)</f>
        <v/>
      </c>
      <c r="H57" s="11">
        <f>IF(F57&gt;0,"KO",IF(D57&gt;0,"En curso","OK"))</f>
        <v/>
      </c>
    </row>
    <row r="58">
      <c r="A58" s="5" t="inlineStr">
        <is>
          <t>CU-25</t>
        </is>
      </c>
      <c r="B58" s="9" t="inlineStr">
        <is>
          <t>Cambio de fecha de aplicación de precios</t>
        </is>
      </c>
      <c r="C58" s="5">
        <f>COUNTIF('Casos de prueba'!$B$2:$B$170,A58)</f>
        <v/>
      </c>
      <c r="D58" s="5">
        <f>COUNTIFS('Casos de prueba'!$B$2:$B$170,A58,'Casos de prueba'!$J$2:$J$170,"Pendiente")</f>
        <v/>
      </c>
      <c r="E58" s="5">
        <f>COUNTIFS('Casos de prueba'!$B$2:$B$170,A58,'Casos de prueba'!$J$2:$J$170,"OK")</f>
        <v/>
      </c>
      <c r="F58" s="5">
        <f>COUNTIFS('Casos de prueba'!$B$2:$B$170,A58,'Casos de prueba'!$J$2:$J$170,"KO")</f>
        <v/>
      </c>
      <c r="G58" s="7">
        <f>IFERROR((E58+F58)/C58,0)</f>
        <v/>
      </c>
      <c r="H58" s="5">
        <f>IF(F58&gt;0,"KO",IF(D58&gt;0,"En curso","OK"))</f>
        <v/>
      </c>
    </row>
    <row r="59">
      <c r="A59" s="11" t="inlineStr">
        <is>
          <t>CU-27</t>
        </is>
      </c>
      <c r="B59" s="10" t="inlineStr">
        <is>
          <t>Asignación de FECHA_APLICACION_OFERTA y parámetro de validez</t>
        </is>
      </c>
      <c r="C59" s="11">
        <f>COUNTIF('Casos de prueba'!$B$2:$B$170,A59)</f>
        <v/>
      </c>
      <c r="D59" s="11">
        <f>COUNTIFS('Casos de prueba'!$B$2:$B$170,A59,'Casos de prueba'!$J$2:$J$170,"Pendiente")</f>
        <v/>
      </c>
      <c r="E59" s="11">
        <f>COUNTIFS('Casos de prueba'!$B$2:$B$170,A59,'Casos de prueba'!$J$2:$J$170,"OK")</f>
        <v/>
      </c>
      <c r="F59" s="11">
        <f>COUNTIFS('Casos de prueba'!$B$2:$B$170,A59,'Casos de prueba'!$J$2:$J$170,"KO")</f>
        <v/>
      </c>
      <c r="G59" s="12">
        <f>IFERROR((E59+F59)/C59,0)</f>
        <v/>
      </c>
      <c r="H59" s="11">
        <f>IF(F59&gt;0,"KO",IF(D59&gt;0,"En curso","OK"))</f>
        <v/>
      </c>
    </row>
    <row r="60">
      <c r="A60" s="5" t="inlineStr">
        <is>
          <t>CU-28</t>
        </is>
      </c>
      <c r="B60" s="9" t="inlineStr">
        <is>
          <t>Resimulación con FECHA_APLICACION_OFERTA vigente (dentro de ventana)</t>
        </is>
      </c>
      <c r="C60" s="5">
        <f>COUNTIF('Casos de prueba'!$B$2:$B$170,A60)</f>
        <v/>
      </c>
      <c r="D60" s="5">
        <f>COUNTIFS('Casos de prueba'!$B$2:$B$170,A60,'Casos de prueba'!$J$2:$J$170,"Pendiente")</f>
        <v/>
      </c>
      <c r="E60" s="5">
        <f>COUNTIFS('Casos de prueba'!$B$2:$B$170,A60,'Casos de prueba'!$J$2:$J$170,"OK")</f>
        <v/>
      </c>
      <c r="F60" s="5">
        <f>COUNTIFS('Casos de prueba'!$B$2:$B$170,A60,'Casos de prueba'!$J$2:$J$170,"KO")</f>
        <v/>
      </c>
      <c r="G60" s="7">
        <f>IFERROR((E60+F60)/C60,0)</f>
        <v/>
      </c>
      <c r="H60" s="5">
        <f>IF(F60&gt;0,"KO",IF(D60&gt;0,"En curso","OK"))</f>
        <v/>
      </c>
    </row>
    <row r="61">
      <c r="A61" s="11" t="inlineStr">
        <is>
          <t>CU-29</t>
        </is>
      </c>
      <c r="B61" s="10" t="inlineStr">
        <is>
          <t>Resimulación con FECHA_APLICACION_OFERTA caducada</t>
        </is>
      </c>
      <c r="C61" s="11">
        <f>COUNTIF('Casos de prueba'!$B$2:$B$170,A61)</f>
        <v/>
      </c>
      <c r="D61" s="11">
        <f>COUNTIFS('Casos de prueba'!$B$2:$B$170,A61,'Casos de prueba'!$J$2:$J$170,"Pendiente")</f>
        <v/>
      </c>
      <c r="E61" s="11">
        <f>COUNTIFS('Casos de prueba'!$B$2:$B$170,A61,'Casos de prueba'!$J$2:$J$170,"OK")</f>
        <v/>
      </c>
      <c r="F61" s="11">
        <f>COUNTIFS('Casos de prueba'!$B$2:$B$170,A61,'Casos de prueba'!$J$2:$J$170,"KO")</f>
        <v/>
      </c>
      <c r="G61" s="12">
        <f>IFERROR((E61+F61)/C61,0)</f>
        <v/>
      </c>
      <c r="H61" s="11">
        <f>IF(F61&gt;0,"KO",IF(D61&gt;0,"En curso","OK"))</f>
        <v/>
      </c>
    </row>
    <row r="62">
      <c r="A62" s="5" t="inlineStr">
        <is>
          <t>CU-26</t>
        </is>
      </c>
      <c r="B62" s="9" t="inlineStr">
        <is>
          <t>Regresión</t>
        </is>
      </c>
      <c r="C62" s="5">
        <f>COUNTIF('Casos de prueba'!$B$2:$B$170,A62)</f>
        <v/>
      </c>
      <c r="D62" s="5">
        <f>COUNTIFS('Casos de prueba'!$B$2:$B$170,A62,'Casos de prueba'!$J$2:$J$170,"Pendiente")</f>
        <v/>
      </c>
      <c r="E62" s="5">
        <f>COUNTIFS('Casos de prueba'!$B$2:$B$170,A62,'Casos de prueba'!$J$2:$J$170,"OK")</f>
        <v/>
      </c>
      <c r="F62" s="5">
        <f>COUNTIFS('Casos de prueba'!$B$2:$B$170,A62,'Casos de prueba'!$J$2:$J$170,"KO")</f>
        <v/>
      </c>
      <c r="G62" s="7">
        <f>IFERROR((E62+F62)/C62,0)</f>
        <v/>
      </c>
      <c r="H62" s="5">
        <f>IF(F62&gt;0,"KO",IF(D62&gt;0,"En curso","OK"))</f>
        <v/>
      </c>
    </row>
  </sheetData>
  <mergeCells count="1">
    <mergeCell ref="A1:H1"/>
  </mergeCells>
  <conditionalFormatting sqref="H34:H62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"En curso"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34" customWidth="1" min="3" max="3"/>
    <col width="11" customWidth="1" min="4" max="4"/>
    <col width="20" customWidth="1" min="5" max="5"/>
    <col width="50" customWidth="1" min="6" max="6"/>
    <col width="42" customWidth="1" min="7" max="7"/>
    <col width="46" customWidth="1" min="8" max="8"/>
    <col width="36" customWidth="1" min="9" max="9"/>
    <col width="12" customWidth="1" min="10" max="10"/>
    <col width="14" customWidth="1" min="11" max="11"/>
    <col width="22" customWidth="1" min="12" max="12"/>
    <col width="18" customWidth="1" min="13" max="13"/>
  </cols>
  <sheetData>
    <row r="1">
      <c r="A1" s="13" t="inlineStr">
        <is>
          <t>Módulo</t>
        </is>
      </c>
      <c r="B1" s="13" t="inlineStr">
        <is>
          <t>ID-CASO</t>
        </is>
      </c>
      <c r="C1" s="13" t="inlineStr">
        <is>
          <t>Caso</t>
        </is>
      </c>
      <c r="D1" s="13" t="inlineStr">
        <is>
          <t>Paso</t>
        </is>
      </c>
      <c r="E1" s="13" t="inlineStr">
        <is>
          <t>Área</t>
        </is>
      </c>
      <c r="F1" s="13" t="inlineStr">
        <is>
          <t>Descripción</t>
        </is>
      </c>
      <c r="G1" s="13" t="inlineStr">
        <is>
          <t>Condiciones / Datos</t>
        </is>
      </c>
      <c r="H1" s="13" t="inlineStr">
        <is>
          <t>Resultado esperado</t>
        </is>
      </c>
      <c r="I1" s="13" t="inlineStr">
        <is>
          <t>Resultado obtenido</t>
        </is>
      </c>
      <c r="J1" s="13" t="inlineStr">
        <is>
          <t>Estado</t>
        </is>
      </c>
      <c r="K1" s="13" t="inlineStr">
        <is>
          <t>Bugs</t>
        </is>
      </c>
      <c r="L1" s="13" t="inlineStr">
        <is>
          <t>Evidencia</t>
        </is>
      </c>
      <c r="M1" s="13" t="inlineStr">
        <is>
          <t>Asignado a</t>
        </is>
      </c>
    </row>
    <row r="2">
      <c r="A2" s="9" t="inlineStr">
        <is>
          <t>Pantalla de alta de expediente</t>
        </is>
      </c>
      <c r="B2" s="5" t="inlineStr">
        <is>
          <t>CU-01</t>
        </is>
      </c>
      <c r="C2" s="9" t="inlineStr">
        <is>
          <t>Nuevos campos en el formulario</t>
        </is>
      </c>
      <c r="D2" s="5" t="inlineStr">
        <is>
          <t>CU-01-1</t>
        </is>
      </c>
      <c r="E2" s="9" t="inlineStr">
        <is>
          <t>Alta &gt; Campos</t>
        </is>
      </c>
      <c r="F2" s="9" t="inlineStr">
        <is>
          <t>El campo tipoAlta aparece en el formulario de alta</t>
        </is>
      </c>
      <c r="G2" s="9" t="inlineStr">
        <is>
          <t>Acceder a pantalla de alta</t>
        </is>
      </c>
      <c r="H2" s="9" t="inlineStr">
        <is>
          <t>Campo visible con lista de valores admitidos (al menos ALTA_NUEVA y NOVACION)</t>
        </is>
      </c>
      <c r="I2" s="9" t="inlineStr"/>
      <c r="J2" s="14" t="inlineStr">
        <is>
          <t>Pendiente</t>
        </is>
      </c>
      <c r="K2" s="9" t="inlineStr"/>
      <c r="L2" s="9" t="inlineStr"/>
      <c r="M2" s="9" t="inlineStr"/>
    </row>
    <row r="3">
      <c r="A3" s="9" t="inlineStr">
        <is>
          <t>Pantalla de alta de expediente</t>
        </is>
      </c>
      <c r="B3" s="5" t="inlineStr">
        <is>
          <t>CU-01</t>
        </is>
      </c>
      <c r="C3" s="9" t="inlineStr">
        <is>
          <t>Nuevos campos en el formulario</t>
        </is>
      </c>
      <c r="D3" s="5" t="inlineStr">
        <is>
          <t>CU-01-2</t>
        </is>
      </c>
      <c r="E3" s="9" t="inlineStr">
        <is>
          <t>Alta &gt; Campos</t>
        </is>
      </c>
      <c r="F3" s="9" t="inlineStr">
        <is>
          <t>El campo finalidad (1ª / 2ª vivienda) aparece en el formulario</t>
        </is>
      </c>
      <c r="G3" s="9" t="inlineStr">
        <is>
          <t>Acceder a pantalla de alta</t>
        </is>
      </c>
      <c r="H3" s="9" t="inlineStr">
        <is>
          <t>Campo visible con al menos "1ª vivienda" y "2ª vivienda"</t>
        </is>
      </c>
      <c r="I3" s="9" t="inlineStr"/>
      <c r="J3" s="14" t="inlineStr">
        <is>
          <t>Pendiente</t>
        </is>
      </c>
      <c r="K3" s="9" t="inlineStr"/>
      <c r="L3" s="9" t="inlineStr"/>
      <c r="M3" s="9" t="inlineStr"/>
    </row>
    <row r="4">
      <c r="A4" s="9" t="inlineStr">
        <is>
          <t>Pantalla de alta de expediente</t>
        </is>
      </c>
      <c r="B4" s="5" t="inlineStr">
        <is>
          <t>CU-01</t>
        </is>
      </c>
      <c r="C4" s="9" t="inlineStr">
        <is>
          <t>Nuevos campos en el formulario</t>
        </is>
      </c>
      <c r="D4" s="5" t="inlineStr">
        <is>
          <t>CU-01-3</t>
        </is>
      </c>
      <c r="E4" s="9" t="inlineStr">
        <is>
          <t>Alta &gt; Campos</t>
        </is>
      </c>
      <c r="F4" s="9" t="inlineStr">
        <is>
          <t>El campo primeraViviendaHabitual (Sí/No) aparece en el formulario</t>
        </is>
      </c>
      <c r="G4" s="9" t="inlineStr">
        <is>
          <t>Acceder a pantalla de alta</t>
        </is>
      </c>
      <c r="H4" s="9" t="inlineStr">
        <is>
          <t>Campo visible; valores Sí / No</t>
        </is>
      </c>
      <c r="I4" s="9" t="inlineStr"/>
      <c r="J4" s="14" t="inlineStr">
        <is>
          <t>Pendiente</t>
        </is>
      </c>
      <c r="K4" s="9" t="inlineStr"/>
      <c r="L4" s="9" t="inlineStr"/>
      <c r="M4" s="9" t="inlineStr"/>
    </row>
    <row r="5">
      <c r="A5" s="9" t="inlineStr">
        <is>
          <t>Pantalla de alta de expediente</t>
        </is>
      </c>
      <c r="B5" s="5" t="inlineStr">
        <is>
          <t>CU-01</t>
        </is>
      </c>
      <c r="C5" s="9" t="inlineStr">
        <is>
          <t>Nuevos campos en el formulario</t>
        </is>
      </c>
      <c r="D5" s="5" t="inlineStr">
        <is>
          <t>CU-01-4</t>
        </is>
      </c>
      <c r="E5" s="9" t="inlineStr">
        <is>
          <t>Alta &gt; Campos</t>
        </is>
      </c>
      <c r="F5" s="9" t="inlineStr">
        <is>
          <t>El campo tipoVivienda (nueva / segunda mano) aparece en el formulario</t>
        </is>
      </c>
      <c r="G5" s="9" t="inlineStr">
        <is>
          <t>Acceder a pantalla de alta</t>
        </is>
      </c>
      <c r="H5" s="9" t="inlineStr">
        <is>
          <t>Campo visible con los valores correspondientes</t>
        </is>
      </c>
      <c r="I5" s="9" t="inlineStr"/>
      <c r="J5" s="14" t="inlineStr">
        <is>
          <t>Pendiente</t>
        </is>
      </c>
      <c r="K5" s="9" t="inlineStr"/>
      <c r="L5" s="9" t="inlineStr"/>
      <c r="M5" s="9" t="inlineStr"/>
    </row>
    <row r="6">
      <c r="A6" s="9" t="inlineStr">
        <is>
          <t>Pantalla de alta de expediente</t>
        </is>
      </c>
      <c r="B6" s="5" t="inlineStr">
        <is>
          <t>CU-01</t>
        </is>
      </c>
      <c r="C6" s="9" t="inlineStr">
        <is>
          <t>Nuevos campos en el formulario</t>
        </is>
      </c>
      <c r="D6" s="5" t="inlineStr">
        <is>
          <t>CU-01-5</t>
        </is>
      </c>
      <c r="E6" s="9" t="inlineStr">
        <is>
          <t>Alta &gt; Campos</t>
        </is>
      </c>
      <c r="F6" s="9" t="inlineStr">
        <is>
          <t>El campo comunidadAutonoma aparece en el formulario</t>
        </is>
      </c>
      <c r="G6" s="9" t="inlineStr">
        <is>
          <t>Acceder a pantalla de alta</t>
        </is>
      </c>
      <c r="H6" s="9" t="inlineStr">
        <is>
          <t>Campo visible con la lista completa de CCAA</t>
        </is>
      </c>
      <c r="I6" s="9" t="inlineStr"/>
      <c r="J6" s="14" t="inlineStr">
        <is>
          <t>Pendiente</t>
        </is>
      </c>
      <c r="K6" s="9" t="inlineStr"/>
      <c r="L6" s="9" t="inlineStr"/>
      <c r="M6" s="9" t="inlineStr"/>
    </row>
    <row r="7">
      <c r="A7" s="9" t="inlineStr">
        <is>
          <t>Pantalla de alta de expediente</t>
        </is>
      </c>
      <c r="B7" s="5" t="inlineStr">
        <is>
          <t>CU-01</t>
        </is>
      </c>
      <c r="C7" s="9" t="inlineStr">
        <is>
          <t>Nuevos campos en el formulario</t>
        </is>
      </c>
      <c r="D7" s="5" t="inlineStr">
        <is>
          <t>CU-01-6</t>
        </is>
      </c>
      <c r="E7" s="9" t="inlineStr">
        <is>
          <t>Alta &gt; Campos</t>
        </is>
      </c>
      <c r="F7" s="9" t="inlineStr">
        <is>
          <t>El campo ¿tienes elegida ya la vivienda? aparece en el formulario</t>
        </is>
      </c>
      <c r="G7" s="9" t="inlineStr">
        <is>
          <t>Acceder a pantalla de alta</t>
        </is>
      </c>
      <c r="H7" s="9" t="inlineStr">
        <is>
          <t>Campo visible con valores Sí / No</t>
        </is>
      </c>
      <c r="I7" s="9" t="inlineStr"/>
      <c r="J7" s="14" t="inlineStr">
        <is>
          <t>Pendiente</t>
        </is>
      </c>
      <c r="K7" s="9" t="inlineStr"/>
      <c r="L7" s="9" t="inlineStr"/>
      <c r="M7" s="9" t="inlineStr"/>
    </row>
    <row r="8">
      <c r="A8" s="9" t="inlineStr">
        <is>
          <t>Pantalla de alta de expediente</t>
        </is>
      </c>
      <c r="B8" s="5" t="inlineStr">
        <is>
          <t>CU-01</t>
        </is>
      </c>
      <c r="C8" s="9" t="inlineStr">
        <is>
          <t>Nuevos campos en el formulario</t>
        </is>
      </c>
      <c r="D8" s="5" t="inlineStr">
        <is>
          <t>CU-01-7</t>
        </is>
      </c>
      <c r="E8" s="9" t="inlineStr">
        <is>
          <t>Alta &gt; Campos</t>
        </is>
      </c>
      <c r="F8" s="9" t="inlineStr">
        <is>
          <t>El campo Importe de la vivienda aparece en el formulario</t>
        </is>
      </c>
      <c r="G8" s="9" t="inlineStr">
        <is>
          <t>Acceder a pantalla de alta</t>
        </is>
      </c>
      <c r="H8" s="9" t="inlineStr">
        <is>
          <t>Campo visible con valor numérico</t>
        </is>
      </c>
      <c r="I8" s="9" t="inlineStr"/>
      <c r="J8" s="14" t="inlineStr">
        <is>
          <t>Pendiente</t>
        </is>
      </c>
      <c r="K8" s="9" t="inlineStr"/>
      <c r="L8" s="9" t="inlineStr"/>
      <c r="M8" s="9" t="inlineStr"/>
    </row>
    <row r="9">
      <c r="A9" s="9" t="inlineStr">
        <is>
          <t>Pantalla de alta de expediente</t>
        </is>
      </c>
      <c r="B9" s="5" t="inlineStr">
        <is>
          <t>CU-01</t>
        </is>
      </c>
      <c r="C9" s="9" t="inlineStr">
        <is>
          <t>Nuevos campos en el formulario</t>
        </is>
      </c>
      <c r="D9" s="5" t="inlineStr">
        <is>
          <t>CU-01-8</t>
        </is>
      </c>
      <c r="E9" s="9" t="inlineStr">
        <is>
          <t>Alta &gt; Validación</t>
        </is>
      </c>
      <c r="F9" s="9" t="inlineStr">
        <is>
          <t>Los nuevos campos son obligatorios; el formulario no avanza si alguno falta</t>
        </is>
      </c>
      <c r="G9" s="9" t="inlineStr">
        <is>
          <t>Dejar uno o varios campos sin informar e intentar continuar</t>
        </is>
      </c>
      <c r="H9" s="9" t="inlineStr">
        <is>
          <t>Se muestra error de validación e impide avanzar al simulador</t>
        </is>
      </c>
      <c r="I9" s="9" t="inlineStr"/>
      <c r="J9" s="14" t="inlineStr">
        <is>
          <t>Pendiente</t>
        </is>
      </c>
      <c r="K9" s="9" t="inlineStr"/>
      <c r="L9" s="9" t="inlineStr"/>
      <c r="M9" s="9" t="inlineStr"/>
    </row>
    <row r="10">
      <c r="A10" s="9" t="inlineStr">
        <is>
          <t>Pantalla de alta de expediente</t>
        </is>
      </c>
      <c r="B10" s="5" t="inlineStr">
        <is>
          <t>CU-02</t>
        </is>
      </c>
      <c r="C10" s="9" t="inlineStr">
        <is>
          <t>Integración con datos externos</t>
        </is>
      </c>
      <c r="D10" s="5" t="inlineStr">
        <is>
          <t>CU-02-1</t>
        </is>
      </c>
      <c r="E10" s="9" t="inlineStr">
        <is>
          <t>Alta &gt; CRS</t>
        </is>
      </c>
      <c r="F10" s="9" t="inlineStr">
        <is>
          <t>edadT1 se obtiene del servicio CRS al informar el número de cliente</t>
        </is>
      </c>
      <c r="G10" s="9" t="inlineStr">
        <is>
          <t>Número de cliente válido en CRS</t>
        </is>
      </c>
      <c r="H10" s="9" t="inlineStr">
        <is>
          <t>El campo edadT1 se rellena automáticamente desde la fecha de nacimiento devuelta por CRS</t>
        </is>
      </c>
      <c r="I10" s="9" t="inlineStr"/>
      <c r="J10" s="14" t="inlineStr">
        <is>
          <t>Pendiente</t>
        </is>
      </c>
      <c r="K10" s="9" t="inlineStr"/>
      <c r="L10" s="9" t="inlineStr"/>
      <c r="M10" s="9" t="inlineStr"/>
    </row>
    <row r="11">
      <c r="A11" s="9" t="inlineStr">
        <is>
          <t>Pantalla de alta de expediente</t>
        </is>
      </c>
      <c r="B11" s="5" t="inlineStr">
        <is>
          <t>CU-02</t>
        </is>
      </c>
      <c r="C11" s="9" t="inlineStr">
        <is>
          <t>Integración con datos externos</t>
        </is>
      </c>
      <c r="D11" s="5" t="inlineStr">
        <is>
          <t>CU-02-2</t>
        </is>
      </c>
      <c r="E11" s="9" t="inlineStr">
        <is>
          <t>Alta &gt; Riesgos</t>
        </is>
      </c>
      <c r="F11" s="9" t="inlineStr">
        <is>
          <t>domiciliaNominaT1 se obtiene del fichero de riesgos</t>
        </is>
      </c>
      <c r="G11" s="9" t="inlineStr">
        <is>
          <t>Número de cliente con datos en fichero de riesgos</t>
        </is>
      </c>
      <c r="H11" s="9" t="inlineStr">
        <is>
          <t>El campo interno domiciliaNominaT1 queda a 1 o 0 según el fichero</t>
        </is>
      </c>
      <c r="I11" s="9" t="inlineStr"/>
      <c r="J11" s="14" t="inlineStr">
        <is>
          <t>Pendiente</t>
        </is>
      </c>
      <c r="K11" s="9" t="inlineStr"/>
      <c r="L11" s="9" t="inlineStr"/>
      <c r="M11" s="9" t="inlineStr"/>
    </row>
    <row r="12">
      <c r="A12" s="9" t="inlineStr">
        <is>
          <t>Pantalla de alta de expediente</t>
        </is>
      </c>
      <c r="B12" s="5" t="inlineStr">
        <is>
          <t>CU-02</t>
        </is>
      </c>
      <c r="C12" s="9" t="inlineStr">
        <is>
          <t>Integración con datos externos</t>
        </is>
      </c>
      <c r="D12" s="5" t="inlineStr">
        <is>
          <t>CU-02-3</t>
        </is>
      </c>
      <c r="E12" s="9" t="inlineStr">
        <is>
          <t>Alta &gt; Riesgos</t>
        </is>
      </c>
      <c r="F12" s="9" t="inlineStr">
        <is>
          <t>antiguedadT1 se obtiene del fichero de riesgos</t>
        </is>
      </c>
      <c r="G12" s="9" t="inlineStr">
        <is>
          <t>Número de cliente con datos en fichero de riesgos</t>
        </is>
      </c>
      <c r="H12" s="9" t="inlineStr">
        <is>
          <t>El campo interno antiguedadT1 queda calculado en meses según la fecha ANTIGUEDAD_DT del fichero</t>
        </is>
      </c>
      <c r="I12" s="9" t="inlineStr"/>
      <c r="J12" s="14" t="inlineStr">
        <is>
          <t>Pendiente</t>
        </is>
      </c>
      <c r="K12" s="9" t="inlineStr"/>
      <c r="L12" s="9" t="inlineStr"/>
      <c r="M12" s="9" t="inlineStr"/>
    </row>
    <row r="13">
      <c r="A13" s="9" t="inlineStr">
        <is>
          <t>Pantalla de alta de expediente</t>
        </is>
      </c>
      <c r="B13" s="5" t="inlineStr">
        <is>
          <t>CU-02</t>
        </is>
      </c>
      <c r="C13" s="9" t="inlineStr">
        <is>
          <t>Integración con datos externos</t>
        </is>
      </c>
      <c r="D13" s="5" t="inlineStr">
        <is>
          <t>CU-02-4</t>
        </is>
      </c>
      <c r="E13" s="9" t="inlineStr">
        <is>
          <t>Alta &gt; CRS</t>
        </is>
      </c>
      <c r="F13" s="9" t="inlineStr">
        <is>
          <t>antiguedadT1 se obtiene por CRS porque cliente no está en fichero</t>
        </is>
      </c>
      <c r="G13" s="9" t="inlineStr">
        <is>
          <t>Número de cliente SIN datos en fichero de riesgos</t>
        </is>
      </c>
      <c r="H13" s="9" t="inlineStr">
        <is>
          <t>El campo interno antiguedadT1 se obtiene de CRS calculado en meses según la fecha fecha_Alta</t>
        </is>
      </c>
      <c r="I13" s="9" t="inlineStr"/>
      <c r="J13" s="14" t="inlineStr">
        <is>
          <t>Pendiente</t>
        </is>
      </c>
      <c r="K13" s="9" t="inlineStr"/>
      <c r="L13" s="9" t="inlineStr"/>
      <c r="M13" s="9" t="inlineStr"/>
    </row>
    <row r="14">
      <c r="A14" s="9" t="inlineStr">
        <is>
          <t>Pantalla de alta de expediente</t>
        </is>
      </c>
      <c r="B14" s="5" t="inlineStr">
        <is>
          <t>CU-02</t>
        </is>
      </c>
      <c r="C14" s="9" t="inlineStr">
        <is>
          <t>Integración con datos externos</t>
        </is>
      </c>
      <c r="D14" s="5" t="inlineStr">
        <is>
          <t>CU-02-5</t>
        </is>
      </c>
      <c r="E14" s="9" t="inlineStr">
        <is>
          <t>Alta &gt; CRS</t>
        </is>
      </c>
      <c r="F14" s="9" t="inlineStr">
        <is>
          <t>Si CRS no encuentra al cliente, se asumirá que NO es cliente</t>
        </is>
      </c>
      <c r="G14" s="9" t="inlineStr">
        <is>
          <t>Número de cliente no encontrado en CRS</t>
        </is>
      </c>
      <c r="H14" s="9" t="inlineStr">
        <is>
          <t>Expediente avanza como anónimo</t>
        </is>
      </c>
      <c r="I14" s="9" t="inlineStr"/>
      <c r="J14" s="14" t="inlineStr">
        <is>
          <t>Pendiente</t>
        </is>
      </c>
      <c r="K14" s="9" t="inlineStr"/>
      <c r="L14" s="9" t="inlineStr"/>
      <c r="M14" s="9" t="inlineStr"/>
    </row>
    <row r="15">
      <c r="A15" s="9" t="inlineStr">
        <is>
          <t>Pantalla de alta de expediente</t>
        </is>
      </c>
      <c r="B15" s="5" t="inlineStr">
        <is>
          <t>CU-02</t>
        </is>
      </c>
      <c r="C15" s="9" t="inlineStr">
        <is>
          <t>Integración con datos externos</t>
        </is>
      </c>
      <c r="D15" s="5" t="inlineStr">
        <is>
          <t>CU-02-6</t>
        </is>
      </c>
      <c r="E15" s="9" t="inlineStr">
        <is>
          <t>Alta &gt; Riesgos</t>
        </is>
      </c>
      <c r="F15" s="9" t="inlineStr">
        <is>
          <t>Si el cliente no tiene registro en el fichero de riesgos, domiciliaNominaT1 queda a 0 y el proceso puede continuar</t>
        </is>
      </c>
      <c r="G15" s="9" t="inlineStr">
        <is>
          <t>Cliente sin registro en fichero de riesgos</t>
        </is>
      </c>
      <c r="H15" s="9" t="inlineStr">
        <is>
          <t>domiciliaNominaT1 = 0; se puede avanzar al simulador</t>
        </is>
      </c>
      <c r="I15" s="9" t="inlineStr"/>
      <c r="J15" s="14" t="inlineStr">
        <is>
          <t>Pendiente</t>
        </is>
      </c>
      <c r="K15" s="9" t="inlineStr"/>
      <c r="L15" s="9" t="inlineStr"/>
      <c r="M15" s="9" t="inlineStr"/>
    </row>
    <row r="16">
      <c r="A16" s="9" t="inlineStr">
        <is>
          <t>Pantalla de alta de expediente</t>
        </is>
      </c>
      <c r="B16" s="5" t="inlineStr">
        <is>
          <t>CU-03</t>
        </is>
      </c>
      <c r="C16" s="9" t="inlineStr">
        <is>
          <t>Evaluación INIT y navegación</t>
        </is>
      </c>
      <c r="D16" s="5" t="inlineStr">
        <is>
          <t>CU-03-1</t>
        </is>
      </c>
      <c r="E16" s="9" t="inlineStr">
        <is>
          <t>Alta &gt; INIT</t>
        </is>
      </c>
      <c r="F16" s="9" t="inlineStr">
        <is>
          <t>Con perfil elegible solo para CLIENTES, el motor devuelve CLIENTES como elegible y no requiere panel económico</t>
        </is>
      </c>
      <c r="G16" s="9" t="inlineStr">
        <is>
          <t>P4: edad 46, ant. 8 m (&gt;6), nómina no dom.</t>
        </is>
      </c>
      <c r="H16" s="9" t="inlineStr">
        <is>
          <t>Se navega al simulador; sin panel de datos económicos; se amplicarán los límites financieros de la oferta CLIENTES</t>
        </is>
      </c>
      <c r="I16" s="9" t="inlineStr"/>
      <c r="J16" s="14" t="inlineStr">
        <is>
          <t>Pendiente</t>
        </is>
      </c>
      <c r="K16" s="9" t="inlineStr"/>
      <c r="L16" s="9" t="inlineStr"/>
      <c r="M16" s="9" t="inlineStr"/>
    </row>
    <row r="17">
      <c r="A17" s="9" t="inlineStr">
        <is>
          <t>Pantalla de alta de expediente</t>
        </is>
      </c>
      <c r="B17" s="5" t="inlineStr">
        <is>
          <t>CU-03</t>
        </is>
      </c>
      <c r="C17" s="9" t="inlineStr">
        <is>
          <t>Evaluación INIT y navegación</t>
        </is>
      </c>
      <c r="D17" s="5" t="inlineStr">
        <is>
          <t>CU-03-2</t>
        </is>
      </c>
      <c r="E17" s="9" t="inlineStr">
        <is>
          <t>Alta &gt; INIT</t>
        </is>
      </c>
      <c r="F17" s="9" t="inlineStr">
        <is>
          <t>Con perfil elegible para ofertas JOVEN_*, el motor marca en INIT que se deben solicitar datos de intervinientes</t>
        </is>
      </c>
      <c r="G17" s="9" t="inlineStr">
        <is>
          <t>P1: edad 35, ant. 18 m, NUEVA, 1ª viv.</t>
        </is>
      </c>
      <c r="H17" s="9" t="inlineStr">
        <is>
          <t>Se navega al simulador con uiLimits.SOLICITAR_DATOS_INTERVINIENTES = true (al menos una JOVEN_* elegible)</t>
        </is>
      </c>
      <c r="I17" s="9" t="inlineStr"/>
      <c r="J17" s="14" t="inlineStr">
        <is>
          <t>Pendiente</t>
        </is>
      </c>
      <c r="K17" s="9" t="inlineStr"/>
      <c r="L17" s="9" t="inlineStr"/>
      <c r="M17" s="9" t="inlineStr"/>
    </row>
    <row r="18">
      <c r="A18" s="9" t="inlineStr">
        <is>
          <t>Pantalla de alta de expediente</t>
        </is>
      </c>
      <c r="B18" s="5" t="inlineStr">
        <is>
          <t>CU-03</t>
        </is>
      </c>
      <c r="C18" s="9" t="inlineStr">
        <is>
          <t>Evaluación INIT y navegación</t>
        </is>
      </c>
      <c r="D18" s="5" t="inlineStr">
        <is>
          <t>CU-03-3</t>
        </is>
      </c>
      <c r="E18" s="9" t="inlineStr">
        <is>
          <t>Alta &gt; INIT</t>
        </is>
      </c>
      <c r="F18" s="9" t="inlineStr">
        <is>
          <t>Sin ninguna oferta elegible en INIT, no se mostrará ninguna oferta elegible</t>
        </is>
      </c>
      <c r="G18" s="9" t="inlineStr">
        <is>
          <t>P5: edad 48, ant. 4 m, nómina no dom.</t>
        </is>
      </c>
      <c r="H18" s="9" t="inlineStr">
        <is>
          <t>Se muestra tabla de ofertas sin entradas</t>
        </is>
      </c>
      <c r="I18" s="9" t="inlineStr"/>
      <c r="J18" s="14" t="inlineStr">
        <is>
          <t>Pendiente</t>
        </is>
      </c>
      <c r="K18" s="9" t="inlineStr"/>
      <c r="L18" s="9" t="inlineStr"/>
      <c r="M18" s="9" t="inlineStr"/>
    </row>
    <row r="19">
      <c r="A19" s="9" t="inlineStr">
        <is>
          <t>Pantalla de alta de expediente</t>
        </is>
      </c>
      <c r="B19" s="5" t="inlineStr">
        <is>
          <t>CU-03</t>
        </is>
      </c>
      <c r="C19" s="9" t="inlineStr">
        <is>
          <t>Evaluación INIT y navegación</t>
        </is>
      </c>
      <c r="D19" s="5" t="inlineStr">
        <is>
          <t>CU-03-4</t>
        </is>
      </c>
      <c r="E19" s="9" t="inlineStr">
        <is>
          <t>Alta &gt; INIT</t>
        </is>
      </c>
      <c r="F19" s="9" t="inlineStr">
        <is>
          <t>Los límites financieros devueltos en INIT (minHipoteca, maxHipoteca, minPlazo, maxPlazo, minLtvExclusive, maxLtv, edadPlazo) se trasladan al simulador</t>
        </is>
      </c>
      <c r="G19" s="9" t="inlineStr">
        <is>
          <t>P1: oferta esperada JOVEN_COMBINADA entre las elegibles</t>
        </is>
      </c>
      <c r="H19" s="9" t="inlineStr">
        <is>
          <t>El simulador aplica los límites de la oferta de mayor ranking devuelta en INIT</t>
        </is>
      </c>
      <c r="I19" s="9" t="inlineStr"/>
      <c r="J19" s="14" t="inlineStr">
        <is>
          <t>Pendiente</t>
        </is>
      </c>
      <c r="K19" s="9" t="inlineStr"/>
      <c r="L19" s="9" t="inlineStr"/>
      <c r="M19" s="9" t="inlineStr"/>
    </row>
    <row r="20">
      <c r="A20" s="9" t="inlineStr">
        <is>
          <t>Pantalla de alta de expediente</t>
        </is>
      </c>
      <c r="B20" s="5" t="inlineStr">
        <is>
          <t>CU-03</t>
        </is>
      </c>
      <c r="C20" s="9" t="inlineStr">
        <is>
          <t>Evaluación INIT y navegación</t>
        </is>
      </c>
      <c r="D20" s="5" t="inlineStr">
        <is>
          <t>CU-03-5</t>
        </is>
      </c>
      <c r="E20" s="9" t="inlineStr">
        <is>
          <t>Alta &gt; INIT</t>
        </is>
      </c>
      <c r="F20" s="9" t="inlineStr">
        <is>
          <t>tipoAlta = SUBROGACION|FINANCIACION_ALQUILER excluye todas las JOVEN_*</t>
        </is>
      </c>
      <c r="G20" s="9" t="inlineStr">
        <is>
          <t>tipoAlta = SUBROGACION|FINANCIACION_ALQUILER, resto de condiciones OK para P1</t>
        </is>
      </c>
      <c r="H20" s="9" t="inlineStr">
        <is>
          <t>Solo CLIENTES puede quedar elegible si cumple antigüedad mínima (6 m)</t>
        </is>
      </c>
      <c r="I20" s="9" t="inlineStr"/>
      <c r="J20" s="14" t="inlineStr">
        <is>
          <t>Pendiente</t>
        </is>
      </c>
      <c r="K20" s="9" t="inlineStr"/>
      <c r="L20" s="9" t="inlineStr"/>
      <c r="M20" s="9" t="inlineStr"/>
    </row>
    <row r="21">
      <c r="A21" s="9" t="inlineStr">
        <is>
          <t>Pantalla de alta de expediente</t>
        </is>
      </c>
      <c r="B21" s="5" t="inlineStr">
        <is>
          <t>CU-03</t>
        </is>
      </c>
      <c r="C21" s="9" t="inlineStr">
        <is>
          <t>Evaluación INIT y navegación</t>
        </is>
      </c>
      <c r="D21" s="5" t="inlineStr">
        <is>
          <t>CU-03-6</t>
        </is>
      </c>
      <c r="E21" s="9" t="inlineStr">
        <is>
          <t>Alta &gt; INIT</t>
        </is>
      </c>
      <c r="F21" s="9" t="inlineStr">
        <is>
          <t>tieneOtrasViviendas = 1 excluye todas las JOVEN_*</t>
        </is>
      </c>
      <c r="G21" s="9" t="inlineStr">
        <is>
          <t>P1 con tieneOtrasViviendas = 1</t>
        </is>
      </c>
      <c r="H21" s="9" t="inlineStr">
        <is>
          <t>Solo CLIENTES puede quedar elegible</t>
        </is>
      </c>
      <c r="I21" s="9" t="inlineStr"/>
      <c r="J21" s="14" t="inlineStr">
        <is>
          <t>Pendiente</t>
        </is>
      </c>
      <c r="K21" s="9" t="inlineStr"/>
      <c r="L21" s="9" t="inlineStr"/>
      <c r="M21" s="9" t="inlineStr"/>
    </row>
    <row r="22">
      <c r="A22" s="9" t="inlineStr">
        <is>
          <t>Pantalla de alta de expediente</t>
        </is>
      </c>
      <c r="B22" s="5" t="inlineStr">
        <is>
          <t>CU-03</t>
        </is>
      </c>
      <c r="C22" s="9" t="inlineStr">
        <is>
          <t>Evaluación INIT y navegación</t>
        </is>
      </c>
      <c r="D22" s="5" t="inlineStr">
        <is>
          <t>CU-03-7</t>
        </is>
      </c>
      <c r="E22" s="9" t="inlineStr">
        <is>
          <t>Alta &gt; INIT</t>
        </is>
      </c>
      <c r="F22" s="9" t="inlineStr">
        <is>
          <t>importeVivienda &lt; importeVentaCA excluye todas las JOVEN_*</t>
        </is>
      </c>
      <c r="G22" s="9" t="inlineStr">
        <is>
          <t>P1 con importe de vivienda por debajo del mínimo de CCAA</t>
        </is>
      </c>
      <c r="H22" s="9" t="inlineStr">
        <is>
          <t>Solo CLIENTES puede quedar elegible</t>
        </is>
      </c>
      <c r="I22" s="9" t="inlineStr"/>
      <c r="J22" s="14" t="inlineStr">
        <is>
          <t>Pendiente</t>
        </is>
      </c>
      <c r="K22" s="9" t="inlineStr"/>
      <c r="L22" s="9" t="inlineStr"/>
      <c r="M22" s="9" t="inlineStr"/>
    </row>
    <row r="23">
      <c r="A23" s="9" t="inlineStr">
        <is>
          <t>Pantalla de alta de expediente</t>
        </is>
      </c>
      <c r="B23" s="5" t="inlineStr">
        <is>
          <t>CU-03</t>
        </is>
      </c>
      <c r="C23" s="9" t="inlineStr">
        <is>
          <t>Evaluación INIT y navegación</t>
        </is>
      </c>
      <c r="D23" s="5" t="inlineStr">
        <is>
          <t>CU-03-8</t>
        </is>
      </c>
      <c r="E23" s="9" t="inlineStr">
        <is>
          <t>Alta &gt; INIT</t>
        </is>
      </c>
      <c r="F23" s="9" t="inlineStr">
        <is>
          <t>El importe de la vivienda se captura como dato de Fase 1 y viaja en el payload de la llamada INIT al motor</t>
        </is>
      </c>
      <c r="G23" s="9" t="inlineStr">
        <is>
          <t>P1 con importe de vivienda informado en el alta</t>
        </is>
      </c>
      <c r="H23" s="9" t="inlineStr">
        <is>
          <t>El payload INIT incluye importeVivienda; el motor lo usa en la regla importeVivienda &lt; importeVentaCA para resolver la elegibilidad INIT</t>
        </is>
      </c>
      <c r="I23" s="9" t="inlineStr"/>
      <c r="J23" s="14" t="inlineStr">
        <is>
          <t>Pendiente</t>
        </is>
      </c>
      <c r="K23" s="9" t="inlineStr"/>
      <c r="L23" s="9" t="inlineStr"/>
      <c r="M23" s="9" t="inlineStr"/>
    </row>
    <row r="24">
      <c r="A24" s="9" t="inlineStr">
        <is>
          <t>Simulador de alta</t>
        </is>
      </c>
      <c r="B24" s="5" t="inlineStr">
        <is>
          <t>CU-04</t>
        </is>
      </c>
      <c r="C24" s="9" t="inlineStr">
        <is>
          <t>Bloques de datos y pop-ups de edición</t>
        </is>
      </c>
      <c r="D24" s="5" t="inlineStr">
        <is>
          <t>CU-04-1</t>
        </is>
      </c>
      <c r="E24" s="9" t="inlineStr">
        <is>
          <t>Simulador &gt; Bloque vivienda</t>
        </is>
      </c>
      <c r="F24" s="9" t="inlineStr">
        <is>
          <t>El bloque Datos de vivienda muestra correctamente los valores procedentes del alta</t>
        </is>
      </c>
      <c r="G24" s="9" t="inlineStr">
        <is>
          <t>P1, todos los campos informados en alta</t>
        </is>
      </c>
      <c r="H24" s="9" t="inlineStr">
        <is>
          <t>Se muestran tipoAlta, finalidad, primeraViviendaHabitual, tipoVivienda, comunidadAutonoma y Fecha Nacimiento T1 con los valores del alta</t>
        </is>
      </c>
      <c r="I24" s="9" t="inlineStr"/>
      <c r="J24" s="14" t="inlineStr">
        <is>
          <t>Pendiente</t>
        </is>
      </c>
      <c r="K24" s="9" t="inlineStr"/>
      <c r="L24" s="9" t="inlineStr"/>
      <c r="M24" s="9" t="inlineStr"/>
    </row>
    <row r="25">
      <c r="A25" s="9" t="inlineStr">
        <is>
          <t>Simulador de alta</t>
        </is>
      </c>
      <c r="B25" s="5" t="inlineStr">
        <is>
          <t>CU-04</t>
        </is>
      </c>
      <c r="C25" s="9" t="inlineStr">
        <is>
          <t>Bloques de datos y pop-ups de edición</t>
        </is>
      </c>
      <c r="D25" s="5" t="inlineStr">
        <is>
          <t>CU-04-2</t>
        </is>
      </c>
      <c r="E25" s="9" t="inlineStr">
        <is>
          <t>Simulador &gt; Bloque vivienda</t>
        </is>
      </c>
      <c r="F25" s="9" t="inlineStr">
        <is>
          <t>El bloque es de solo lectura: los campos no son editables directamente</t>
        </is>
      </c>
      <c r="G25" s="9" t="inlineStr">
        <is>
          <t>P1, intentar editar cualquier campo del bloque</t>
        </is>
      </c>
      <c r="H25" s="9" t="inlineStr">
        <is>
          <t>Los campos no son modificables inline; no se puede escribir sobre ellos</t>
        </is>
      </c>
      <c r="I25" s="9" t="inlineStr"/>
      <c r="J25" s="14" t="inlineStr">
        <is>
          <t>Pendiente</t>
        </is>
      </c>
      <c r="K25" s="9" t="inlineStr"/>
      <c r="L25" s="9" t="inlineStr"/>
      <c r="M25" s="9" t="inlineStr"/>
    </row>
    <row r="26">
      <c r="A26" s="9" t="inlineStr">
        <is>
          <t>Simulador de alta</t>
        </is>
      </c>
      <c r="B26" s="5" t="inlineStr">
        <is>
          <t>CU-04</t>
        </is>
      </c>
      <c r="C26" s="9" t="inlineStr">
        <is>
          <t>Bloques de datos y pop-ups de edición</t>
        </is>
      </c>
      <c r="D26" s="5" t="inlineStr">
        <is>
          <t>CU-04-3</t>
        </is>
      </c>
      <c r="E26" s="9" t="inlineStr">
        <is>
          <t>Simulador &gt; Bloque vivienda</t>
        </is>
      </c>
      <c r="F26" s="9" t="inlineStr">
        <is>
          <t>El bloque tiene un botón de edición visible</t>
        </is>
      </c>
      <c r="G26" s="9" t="inlineStr">
        <is>
          <t>Acceder al simulador con cualquier perfil</t>
        </is>
      </c>
      <c r="H26" s="9" t="inlineStr">
        <is>
          <t>El botón de edición aparece en el bloque de datos de vivienda</t>
        </is>
      </c>
      <c r="I26" s="9" t="inlineStr"/>
      <c r="J26" s="14" t="inlineStr">
        <is>
          <t>Pendiente</t>
        </is>
      </c>
      <c r="K26" s="9" t="inlineStr"/>
      <c r="L26" s="9" t="inlineStr"/>
      <c r="M26" s="9" t="inlineStr"/>
    </row>
    <row r="27">
      <c r="A27" s="9" t="inlineStr">
        <is>
          <t>Simulador de alta</t>
        </is>
      </c>
      <c r="B27" s="5" t="inlineStr">
        <is>
          <t>CU-04</t>
        </is>
      </c>
      <c r="C27" s="9" t="inlineStr">
        <is>
          <t>Bloques de datos y pop-ups de edición</t>
        </is>
      </c>
      <c r="D27" s="5" t="inlineStr">
        <is>
          <t>CU-04-4</t>
        </is>
      </c>
      <c r="E27" s="9" t="inlineStr">
        <is>
          <t>Simulador &gt; Bloque vivienda</t>
        </is>
      </c>
      <c r="F27" s="9" t="inlineStr">
        <is>
          <t>Pulsar el botón abre un pop-up con todos los campos de vivienda editables</t>
        </is>
      </c>
      <c r="G27" s="9" t="inlineStr">
        <is>
          <t>Pulsar el botón de edición del bloque vivienda</t>
        </is>
      </c>
      <c r="H27" s="9" t="inlineStr">
        <is>
          <t>El pop-up se abre con los valores actuales precargados y permite modificarlos</t>
        </is>
      </c>
      <c r="I27" s="9" t="inlineStr"/>
      <c r="J27" s="14" t="inlineStr">
        <is>
          <t>Pendiente</t>
        </is>
      </c>
      <c r="K27" s="9" t="inlineStr"/>
      <c r="L27" s="9" t="inlineStr"/>
      <c r="M27" s="9" t="inlineStr"/>
    </row>
    <row r="28">
      <c r="A28" s="9" t="inlineStr">
        <is>
          <t>Simulador de alta</t>
        </is>
      </c>
      <c r="B28" s="5" t="inlineStr">
        <is>
          <t>CU-04</t>
        </is>
      </c>
      <c r="C28" s="9" t="inlineStr">
        <is>
          <t>Bloques de datos y pop-ups de edición</t>
        </is>
      </c>
      <c r="D28" s="5" t="inlineStr">
        <is>
          <t>CU-04-5</t>
        </is>
      </c>
      <c r="E28" s="9" t="inlineStr">
        <is>
          <t>Simulador &gt; Bloque vivienda</t>
        </is>
      </c>
      <c r="F28" s="9" t="inlineStr">
        <is>
          <t>Al guardar el pop-up de vivienda, el motor se re-evalúa con los nuevos datos</t>
        </is>
      </c>
      <c r="G28" s="9" t="inlineStr">
        <is>
          <t>P1: cambiar comunidadAutonoma en el pop-up y guardar</t>
        </is>
      </c>
      <c r="H28" s="9" t="inlineStr">
        <is>
          <t>Se lanza nueva llamada al motor; las ofertas elegibles y límites se actualizan</t>
        </is>
      </c>
      <c r="I28" s="9" t="inlineStr"/>
      <c r="J28" s="14" t="inlineStr">
        <is>
          <t>Pendiente</t>
        </is>
      </c>
      <c r="K28" s="9" t="inlineStr"/>
      <c r="L28" s="9" t="inlineStr"/>
      <c r="M28" s="9" t="inlineStr"/>
    </row>
    <row r="29">
      <c r="A29" s="9" t="inlineStr">
        <is>
          <t>Simulador de alta</t>
        </is>
      </c>
      <c r="B29" s="5" t="inlineStr">
        <is>
          <t>CU-04</t>
        </is>
      </c>
      <c r="C29" s="9" t="inlineStr">
        <is>
          <t>Bloques de datos y pop-ups de edición</t>
        </is>
      </c>
      <c r="D29" s="5" t="inlineStr">
        <is>
          <t>CU-04-6</t>
        </is>
      </c>
      <c r="E29" s="9" t="inlineStr">
        <is>
          <t>Simulador &gt; Bloque vivienda</t>
        </is>
      </c>
      <c r="F29" s="9" t="inlineStr">
        <is>
          <t>Los cambios guardados en el pop-up quedan reflejados en el bloque</t>
        </is>
      </c>
      <c r="G29" s="9" t="inlineStr">
        <is>
          <t>P1: cambiar finalidad de 1ª a 2ª vivienda en el pop-up y guardar</t>
        </is>
      </c>
      <c r="H29" s="9" t="inlineStr">
        <is>
          <t>El bloque muestra el nuevo valor de finalidad</t>
        </is>
      </c>
      <c r="I29" s="9" t="inlineStr"/>
      <c r="J29" s="14" t="inlineStr">
        <is>
          <t>Pendiente</t>
        </is>
      </c>
      <c r="K29" s="9" t="inlineStr"/>
      <c r="L29" s="9" t="inlineStr"/>
      <c r="M29" s="9" t="inlineStr"/>
    </row>
    <row r="30">
      <c r="A30" s="9" t="inlineStr">
        <is>
          <t>Simulador de alta</t>
        </is>
      </c>
      <c r="B30" s="5" t="inlineStr">
        <is>
          <t>CU-04</t>
        </is>
      </c>
      <c r="C30" s="9" t="inlineStr">
        <is>
          <t>Bloques de datos y pop-ups de edición</t>
        </is>
      </c>
      <c r="D30" s="5" t="inlineStr">
        <is>
          <t>CU-04-7</t>
        </is>
      </c>
      <c r="E30" s="9" t="inlineStr">
        <is>
          <t>Simulador &gt; Bloque vivienda</t>
        </is>
      </c>
      <c r="F30" s="9" t="inlineStr">
        <is>
          <t>Cambios en el pop-up que afectan la elegibilidad actualizan la tabla de ofertas y los límites</t>
        </is>
      </c>
      <c r="G30" s="9" t="inlineStr">
        <is>
          <t>P1: cambiar tieneOtrasViviendas a 1 en el pop-up y guardar</t>
        </is>
      </c>
      <c r="H30" s="9" t="inlineStr">
        <is>
          <t>Las ofertas JOVEN_* desaparecen de la tabla; solo CLIENTES puede quedar elegible; los límites aplicados cambian</t>
        </is>
      </c>
      <c r="I30" s="9" t="inlineStr"/>
      <c r="J30" s="14" t="inlineStr">
        <is>
          <t>Pendiente</t>
        </is>
      </c>
      <c r="K30" s="9" t="inlineStr"/>
      <c r="L30" s="9" t="inlineStr"/>
      <c r="M30" s="9" t="inlineStr"/>
    </row>
    <row r="31">
      <c r="A31" s="9" t="inlineStr">
        <is>
          <t>Simulador de alta</t>
        </is>
      </c>
      <c r="B31" s="5" t="inlineStr">
        <is>
          <t>CU-04</t>
        </is>
      </c>
      <c r="C31" s="9" t="inlineStr">
        <is>
          <t>Bloques de datos y pop-ups de edición</t>
        </is>
      </c>
      <c r="D31" s="5" t="inlineStr">
        <is>
          <t>CU-04-8</t>
        </is>
      </c>
      <c r="E31" s="9" t="inlineStr">
        <is>
          <t>Simulador &gt; Bloque intervinientes</t>
        </is>
      </c>
      <c r="F31" s="9" t="inlineStr">
        <is>
          <t>El bloque Intervinientes se muestra con los datos económicos cuando uiLimits.SOLICITAR_DATOS_INTERVINIENTES = true</t>
        </is>
      </c>
      <c r="G31" s="9" t="inlineStr">
        <is>
          <t>P1 (al menos una JOVEN_* elegible → flag = true)</t>
        </is>
      </c>
      <c r="H31" s="9" t="inlineStr">
        <is>
          <t>Bloque visible con Fecha Nacimiento, edad calculada, Ingresos netos mensuales y Número de pagas por cada titular</t>
        </is>
      </c>
      <c r="I31" s="9" t="inlineStr"/>
      <c r="J31" s="14" t="inlineStr">
        <is>
          <t>Pendiente</t>
        </is>
      </c>
      <c r="K31" s="9" t="inlineStr"/>
      <c r="L31" s="9" t="inlineStr"/>
      <c r="M31" s="9" t="inlineStr"/>
    </row>
    <row r="32">
      <c r="A32" s="9" t="inlineStr">
        <is>
          <t>Simulador de alta</t>
        </is>
      </c>
      <c r="B32" s="5" t="inlineStr">
        <is>
          <t>CU-04</t>
        </is>
      </c>
      <c r="C32" s="9" t="inlineStr">
        <is>
          <t>Bloques de datos y pop-ups de edición</t>
        </is>
      </c>
      <c r="D32" s="5" t="inlineStr">
        <is>
          <t>CU-04-9</t>
        </is>
      </c>
      <c r="E32" s="9" t="inlineStr">
        <is>
          <t>Simulador &gt; Bloque intervinientes</t>
        </is>
      </c>
      <c r="F32" s="9" t="inlineStr">
        <is>
          <t>El bloque de intervinientes no se muestra cuando uiLimits.SOLICITAR_DATOS_INTERVINIENTES = false</t>
        </is>
      </c>
      <c r="G32" s="9" t="inlineStr">
        <is>
          <t>P4 (solo CLIENTES elegible → flag = false)</t>
        </is>
      </c>
      <c r="H32" s="9" t="inlineStr">
        <is>
          <t>El bloque no aparece; se puede introducir importe y plazo directamente; los límites de CLIENTES devueltos por el motor se aplican</t>
        </is>
      </c>
      <c r="I32" s="9" t="inlineStr"/>
      <c r="J32" s="14" t="inlineStr">
        <is>
          <t>Pendiente</t>
        </is>
      </c>
      <c r="K32" s="9" t="inlineStr"/>
      <c r="L32" s="9" t="inlineStr"/>
      <c r="M32" s="9" t="inlineStr"/>
    </row>
    <row r="33">
      <c r="A33" s="9" t="inlineStr">
        <is>
          <t>Simulador de alta</t>
        </is>
      </c>
      <c r="B33" s="5" t="inlineStr">
        <is>
          <t>CU-04</t>
        </is>
      </c>
      <c r="C33" s="9" t="inlineStr">
        <is>
          <t>Bloques de datos y pop-ups de edición</t>
        </is>
      </c>
      <c r="D33" s="5" t="inlineStr">
        <is>
          <t>CU-04-10</t>
        </is>
      </c>
      <c r="E33" s="9" t="inlineStr">
        <is>
          <t>Simulador &gt; Bloque intervinientes</t>
        </is>
      </c>
      <c r="F33" s="9" t="inlineStr">
        <is>
          <t>El bloque de intervinientes tiene un botón de edición que abre un pop-up</t>
        </is>
      </c>
      <c r="G33" s="9" t="inlineStr">
        <is>
          <t>P1: pulsar el botón de edición del bloque de intervinientes</t>
        </is>
      </c>
      <c r="H33" s="9" t="inlineStr">
        <is>
          <t>El pop-up se abre con los valores actuales (fecha nacimiento, ingresos, pagas) precargados y editables por titular</t>
        </is>
      </c>
      <c r="I33" s="9" t="inlineStr"/>
      <c r="J33" s="14" t="inlineStr">
        <is>
          <t>Pendiente</t>
        </is>
      </c>
      <c r="K33" s="9" t="inlineStr"/>
      <c r="L33" s="9" t="inlineStr"/>
      <c r="M33" s="9" t="inlineStr"/>
    </row>
    <row r="34">
      <c r="A34" s="9" t="inlineStr">
        <is>
          <t>Simulador de alta</t>
        </is>
      </c>
      <c r="B34" s="5" t="inlineStr">
        <is>
          <t>CU-04</t>
        </is>
      </c>
      <c r="C34" s="9" t="inlineStr">
        <is>
          <t>Bloques de datos y pop-ups de edición</t>
        </is>
      </c>
      <c r="D34" s="5" t="inlineStr">
        <is>
          <t>CU-04-11</t>
        </is>
      </c>
      <c r="E34" s="9" t="inlineStr">
        <is>
          <t>Simulador &gt; Bloque intervinientes</t>
        </is>
      </c>
      <c r="F34" s="9" t="inlineStr">
        <is>
          <t>Al guardar el pop-up de intervinientes, el motor PRE se re-evalúa</t>
        </is>
      </c>
      <c r="G34" s="9" t="inlineStr">
        <is>
          <t>P2: cambiar ingresosT2 de 1.600 a 2.000 € en el pop-up y guardar</t>
        </is>
      </c>
      <c r="H34" s="9" t="inlineStr">
        <is>
          <t>Se lanza nueva llamada al motor en fase PRE; las ofertas elegibles y límites se actualizan en pantalla</t>
        </is>
      </c>
      <c r="I34" s="9" t="inlineStr"/>
      <c r="J34" s="14" t="inlineStr">
        <is>
          <t>Pendiente</t>
        </is>
      </c>
      <c r="K34" s="9" t="inlineStr"/>
      <c r="L34" s="9" t="inlineStr"/>
      <c r="M34" s="9" t="inlineStr"/>
    </row>
    <row r="35">
      <c r="A35" s="9" t="inlineStr">
        <is>
          <t>Simulador de alta</t>
        </is>
      </c>
      <c r="B35" s="5" t="inlineStr">
        <is>
          <t>CU-04</t>
        </is>
      </c>
      <c r="C35" s="9" t="inlineStr">
        <is>
          <t>Bloques de datos y pop-ups de edición</t>
        </is>
      </c>
      <c r="D35" s="5" t="inlineStr">
        <is>
          <t>CU-04-12</t>
        </is>
      </c>
      <c r="E35" s="9" t="inlineStr">
        <is>
          <t>Simulador &gt; Bloque intervinientes</t>
        </is>
      </c>
      <c r="F35" s="9" t="inlineStr">
        <is>
          <t>La edad calculada se actualiza en el bloque al editar la fecha de nacimiento en el pop-up</t>
        </is>
      </c>
      <c r="G35" s="9" t="inlineStr">
        <is>
          <t>P1: cambiar fecha de nacimiento de T1 en el pop-up</t>
        </is>
      </c>
      <c r="H35" s="9" t="inlineStr">
        <is>
          <t>Al guardar, el bloque muestra la edad recalculada correctamente</t>
        </is>
      </c>
      <c r="I35" s="9" t="inlineStr"/>
      <c r="J35" s="14" t="inlineStr">
        <is>
          <t>Pendiente</t>
        </is>
      </c>
      <c r="K35" s="9" t="inlineStr"/>
      <c r="L35" s="9" t="inlineStr"/>
      <c r="M35" s="9" t="inlineStr"/>
    </row>
    <row r="36">
      <c r="A36" s="9" t="inlineStr">
        <is>
          <t>Simulador de alta</t>
        </is>
      </c>
      <c r="B36" s="5" t="inlineStr">
        <is>
          <t>CU-05</t>
        </is>
      </c>
      <c r="C36" s="9" t="inlineStr">
        <is>
          <t>Evaluación PRE</t>
        </is>
      </c>
      <c r="D36" s="5" t="inlineStr">
        <is>
          <t>CU-05-1</t>
        </is>
      </c>
      <c r="E36" s="9" t="inlineStr">
        <is>
          <t>Simulador &gt; Préstamo</t>
        </is>
      </c>
      <c r="F36" s="9" t="inlineStr">
        <is>
          <t>Los campos de préstamo (importe, plazo) se validan contra los límites de la oferta elegible de mayor ranking</t>
        </is>
      </c>
      <c r="G36" s="9" t="inlineStr">
        <is>
          <t>P1, JOVEN_COMBINADA elegible: maxPlazo 40, maxLTV 95 %</t>
        </is>
      </c>
      <c r="H36" s="9" t="inlineStr">
        <is>
          <t>El sistema permite plazo hasta 40 años e importe hasta LTV ≤ 95 %</t>
        </is>
      </c>
      <c r="I36" s="9" t="inlineStr"/>
      <c r="J36" s="14" t="inlineStr">
        <is>
          <t>Pendiente</t>
        </is>
      </c>
      <c r="K36" s="9" t="inlineStr"/>
      <c r="L36" s="9" t="inlineStr"/>
      <c r="M36" s="9" t="inlineStr"/>
    </row>
    <row r="37">
      <c r="A37" s="9" t="inlineStr">
        <is>
          <t>Simulador de alta</t>
        </is>
      </c>
      <c r="B37" s="5" t="inlineStr">
        <is>
          <t>CU-05</t>
        </is>
      </c>
      <c r="C37" s="9" t="inlineStr">
        <is>
          <t>Evaluación PRE</t>
        </is>
      </c>
      <c r="D37" s="5" t="inlineStr">
        <is>
          <t>CU-05-2</t>
        </is>
      </c>
      <c r="E37" s="9" t="inlineStr">
        <is>
          <t>Simulador &gt; PRE</t>
        </is>
      </c>
      <c r="F37" s="9" t="inlineStr">
        <is>
          <t>Con 1 titular e ingresos prorateados ≥ 2.300 €/m, las ofertas con MIN_INGRESOS_1T = 2.300 son preEligibles</t>
        </is>
      </c>
      <c r="G37" s="9" t="inlineStr">
        <is>
          <t>P1: 2.500 €/m × 14p / 14 = 2.500 €/m</t>
        </is>
      </c>
      <c r="H37" s="9" t="inlineStr">
        <is>
          <t>JOVEN_ALTO_LTV, JOVEN_ALTO_PLAZO, JOVEN_COMBINADA, JOVEN_MEJOR_PRECIO_ALTO_VALOR marcadas preEligibles; JOVEN_MEJOR_PRECIO también (MIN=0)</t>
        </is>
      </c>
      <c r="I37" s="9" t="inlineStr"/>
      <c r="J37" s="14" t="inlineStr">
        <is>
          <t>Pendiente</t>
        </is>
      </c>
      <c r="K37" s="9" t="inlineStr"/>
      <c r="L37" s="9" t="inlineStr"/>
      <c r="M37" s="9" t="inlineStr"/>
    </row>
    <row r="38">
      <c r="A38" s="9" t="inlineStr">
        <is>
          <t>Simulador de alta</t>
        </is>
      </c>
      <c r="B38" s="5" t="inlineStr">
        <is>
          <t>CU-05</t>
        </is>
      </c>
      <c r="C38" s="9" t="inlineStr">
        <is>
          <t>Evaluación PRE</t>
        </is>
      </c>
      <c r="D38" s="5" t="inlineStr">
        <is>
          <t>CU-05-3</t>
        </is>
      </c>
      <c r="E38" s="9" t="inlineStr">
        <is>
          <t>Simulador &gt; PRE</t>
        </is>
      </c>
      <c r="F38" s="9" t="inlineStr">
        <is>
          <t>Con 1 titular e ingresos prorateados &lt; 2.300 €/m, las ofertas con MIN_INGRESOS_1T = 2.300 resultan no elegibles</t>
        </is>
      </c>
      <c r="G38" s="9" t="inlineStr">
        <is>
          <t>1 titular, 1.800 €/m × 14p / 14 = 1.800 €/m</t>
        </is>
      </c>
      <c r="H38" s="9" t="inlineStr">
        <is>
          <t>JOVEN_MEJOR_PRECIO (MIN_ING=0) sigue elegible; el resto de JOVEN con MIN_ING=2.300 resultan no elegibles</t>
        </is>
      </c>
      <c r="I38" s="9" t="inlineStr"/>
      <c r="J38" s="14" t="inlineStr">
        <is>
          <t>Pendiente</t>
        </is>
      </c>
      <c r="K38" s="9" t="inlineStr"/>
      <c r="L38" s="9" t="inlineStr"/>
      <c r="M38" s="9" t="inlineStr"/>
    </row>
    <row r="39">
      <c r="A39" s="9" t="inlineStr">
        <is>
          <t>Simulador de alta</t>
        </is>
      </c>
      <c r="B39" s="5" t="inlineStr">
        <is>
          <t>CU-05</t>
        </is>
      </c>
      <c r="C39" s="9" t="inlineStr">
        <is>
          <t>Evaluación PRE</t>
        </is>
      </c>
      <c r="D39" s="5" t="inlineStr">
        <is>
          <t>CU-05-4</t>
        </is>
      </c>
      <c r="E39" s="9" t="inlineStr">
        <is>
          <t>Simulador &gt; PRE</t>
        </is>
      </c>
      <c r="F39" s="9" t="inlineStr">
        <is>
          <t>Con 2 titulares e ingresos totales prorateados ≥ 3.400 €/m, las ofertas con MIN_INGRESOS_2T = 3.400 son preEligibles</t>
        </is>
      </c>
      <c r="G39" s="9" t="inlineStr">
        <is>
          <t>P2: ingT1 = 2.000 + ingT2 = 1.600 = 3.600 €/m</t>
        </is>
      </c>
      <c r="H39" s="9" t="inlineStr">
        <is>
          <t>Ofertas con MIN_INGRESOS_2T = 3.400 resultan preEligibles</t>
        </is>
      </c>
      <c r="I39" s="9" t="inlineStr"/>
      <c r="J39" s="14" t="inlineStr">
        <is>
          <t>Pendiente</t>
        </is>
      </c>
      <c r="K39" s="9" t="inlineStr"/>
      <c r="L39" s="9" t="inlineStr"/>
      <c r="M39" s="9" t="inlineStr"/>
    </row>
    <row r="40">
      <c r="A40" s="9" t="inlineStr">
        <is>
          <t>Simulador de alta</t>
        </is>
      </c>
      <c r="B40" s="5" t="inlineStr">
        <is>
          <t>CU-05</t>
        </is>
      </c>
      <c r="C40" s="9" t="inlineStr">
        <is>
          <t>Evaluación PRE</t>
        </is>
      </c>
      <c r="D40" s="5" t="inlineStr">
        <is>
          <t>CU-05-5</t>
        </is>
      </c>
      <c r="E40" s="9" t="inlineStr">
        <is>
          <t>Simulador &gt; PRE</t>
        </is>
      </c>
      <c r="F40" s="9" t="inlineStr">
        <is>
          <t>Con 2 titulares e ingresos totales &lt; 3.400 €/m, las ofertas con MIN_INGRESOS_2T = 3.400 resultan no elegibles</t>
        </is>
      </c>
      <c r="G40" s="9" t="inlineStr">
        <is>
          <t>2 titulares, ingT1 = 1.500 + ingT2 = 1.500 = 3.000 €/m</t>
        </is>
      </c>
      <c r="H40" s="9" t="inlineStr">
        <is>
          <t>JOVEN_MEJOR_PRECIO sigue elegible (MIN=0); resto de JOVEN con MIN=3.400 no elegibles</t>
        </is>
      </c>
      <c r="I40" s="9" t="inlineStr"/>
      <c r="J40" s="14" t="inlineStr">
        <is>
          <t>Pendiente</t>
        </is>
      </c>
      <c r="K40" s="9" t="inlineStr"/>
      <c r="L40" s="9" t="inlineStr"/>
      <c r="M40" s="9" t="inlineStr"/>
    </row>
    <row r="41">
      <c r="A41" s="9" t="inlineStr">
        <is>
          <t>Simulador de alta</t>
        </is>
      </c>
      <c r="B41" s="5" t="inlineStr">
        <is>
          <t>CU-05</t>
        </is>
      </c>
      <c r="C41" s="9" t="inlineStr">
        <is>
          <t>Evaluación PRE</t>
        </is>
      </c>
      <c r="D41" s="5" t="inlineStr">
        <is>
          <t>CU-05-6</t>
        </is>
      </c>
      <c r="E41" s="9" t="inlineStr">
        <is>
          <t>Simulador &gt; PRE</t>
        </is>
      </c>
      <c r="F41" s="9" t="inlineStr">
        <is>
          <t>El motor PRE devuelve límites actualizados que se aplican en pantalla</t>
        </is>
      </c>
      <c r="G41" s="9" t="inlineStr">
        <is>
          <t>P1, PRE retorna maxLTV = 95 %, maxPlazo = 40 (JOVEN_COMBINADA)</t>
        </is>
      </c>
      <c r="H41" s="9" t="inlineStr">
        <is>
          <t>El importe hipoteca se valida con maxLTV = 95 %; el selector de plazo limita a 40 años</t>
        </is>
      </c>
      <c r="I41" s="9" t="inlineStr"/>
      <c r="J41" s="14" t="inlineStr">
        <is>
          <t>Pendiente</t>
        </is>
      </c>
      <c r="K41" s="9" t="inlineStr"/>
      <c r="L41" s="9" t="inlineStr"/>
      <c r="M41" s="9" t="inlineStr"/>
    </row>
    <row r="42">
      <c r="A42" s="9" t="inlineStr">
        <is>
          <t>Simulador de alta</t>
        </is>
      </c>
      <c r="B42" s="5" t="inlineStr">
        <is>
          <t>CU-05</t>
        </is>
      </c>
      <c r="C42" s="9" t="inlineStr">
        <is>
          <t>Evaluación PRE</t>
        </is>
      </c>
      <c r="D42" s="5" t="inlineStr">
        <is>
          <t>CU-05-7</t>
        </is>
      </c>
      <c r="E42" s="9" t="inlineStr">
        <is>
          <t>Simulador &gt; PRE</t>
        </is>
      </c>
      <c r="F42" s="9" t="inlineStr">
        <is>
          <t>El payload enviado al motor PRE incluye todos los campos del panel económico</t>
        </is>
      </c>
      <c r="G42" s="9" t="inlineStr">
        <is>
          <t>P2, todos los campos informados</t>
        </is>
      </c>
      <c r="H42" s="9" t="inlineStr">
        <is>
          <t>El payload incluye edadT1, edadT2, ingresosT1, ingresosT2, numPagasT1, numPagasT2</t>
        </is>
      </c>
      <c r="I42" s="9" t="inlineStr"/>
      <c r="J42" s="14" t="inlineStr">
        <is>
          <t>Pendiente</t>
        </is>
      </c>
      <c r="K42" s="9" t="inlineStr"/>
      <c r="L42" s="9" t="inlineStr"/>
      <c r="M42" s="9" t="inlineStr"/>
    </row>
    <row r="43">
      <c r="A43" s="9" t="inlineStr">
        <is>
          <t>Simulador de alta</t>
        </is>
      </c>
      <c r="B43" s="5" t="inlineStr">
        <is>
          <t>CU-06</t>
        </is>
      </c>
      <c r="C43" s="9" t="inlineStr">
        <is>
          <t>Flag SOLICITAR_DATOS_INTERVINIENTES</t>
        </is>
      </c>
      <c r="D43" s="5" t="inlineStr">
        <is>
          <t>CU-06-1</t>
        </is>
      </c>
      <c r="E43" s="9" t="inlineStr">
        <is>
          <t>Motor &gt; uiLimits</t>
        </is>
      </c>
      <c r="F43" s="9" t="inlineStr">
        <is>
          <t>OR lógico — solo CLIENTES elegible → flag false</t>
        </is>
      </c>
      <c r="G43" s="9" t="inlineStr">
        <is>
          <t>P4 (solo CLIENTES elegible en la fase evaluada)</t>
        </is>
      </c>
      <c r="H43" s="9" t="inlineStr">
        <is>
          <t>uiLimits.SOLICITAR_DATOS_INTERVINIENTES = false</t>
        </is>
      </c>
      <c r="I43" s="9" t="inlineStr"/>
      <c r="J43" s="14" t="inlineStr">
        <is>
          <t>Pendiente</t>
        </is>
      </c>
      <c r="K43" s="9" t="inlineStr"/>
      <c r="L43" s="9" t="inlineStr"/>
      <c r="M43" s="9" t="inlineStr"/>
    </row>
    <row r="44">
      <c r="A44" s="9" t="inlineStr">
        <is>
          <t>Simulador de alta</t>
        </is>
      </c>
      <c r="B44" s="5" t="inlineStr">
        <is>
          <t>CU-06</t>
        </is>
      </c>
      <c r="C44" s="9" t="inlineStr">
        <is>
          <t>Flag SOLICITAR_DATOS_INTERVINIENTES</t>
        </is>
      </c>
      <c r="D44" s="5" t="inlineStr">
        <is>
          <t>CU-06-2</t>
        </is>
      </c>
      <c r="E44" s="9" t="inlineStr">
        <is>
          <t>Motor &gt; uiLimits</t>
        </is>
      </c>
      <c r="F44" s="9" t="inlineStr">
        <is>
          <t>OR lógico — al menos una JOVEN_* elegible → flag true</t>
        </is>
      </c>
      <c r="G44" s="9" t="inlineStr">
        <is>
          <t>P1 (una o más JOVEN_* elegibles, con o sin CLIENTES)</t>
        </is>
      </c>
      <c r="H44" s="9" t="inlineStr">
        <is>
          <t>uiLimits.SOLICITAR_DATOS_INTERVINIENTES = true</t>
        </is>
      </c>
      <c r="I44" s="9" t="inlineStr"/>
      <c r="J44" s="14" t="inlineStr">
        <is>
          <t>Pendiente</t>
        </is>
      </c>
      <c r="K44" s="9" t="inlineStr"/>
      <c r="L44" s="9" t="inlineStr"/>
      <c r="M44" s="9" t="inlineStr"/>
    </row>
    <row r="45">
      <c r="A45" s="9" t="inlineStr">
        <is>
          <t>Simulador de alta</t>
        </is>
      </c>
      <c r="B45" s="5" t="inlineStr">
        <is>
          <t>CU-06</t>
        </is>
      </c>
      <c r="C45" s="9" t="inlineStr">
        <is>
          <t>Flag SOLICITAR_DATOS_INTERVINIENTES</t>
        </is>
      </c>
      <c r="D45" s="5" t="inlineStr">
        <is>
          <t>CU-06-3</t>
        </is>
      </c>
      <c r="E45" s="9" t="inlineStr">
        <is>
          <t>Motor &gt; uiLimits</t>
        </is>
      </c>
      <c r="F45" s="9" t="inlineStr">
        <is>
          <t>Sin ofertas elegibles → el campo no aparece en uiLimits</t>
        </is>
      </c>
      <c r="G45" s="9" t="inlineStr">
        <is>
          <t>P5: edad 48, ant. 4 m (ninguna oferta elegible)</t>
        </is>
      </c>
      <c r="H45" s="9" t="inlineStr">
        <is>
          <t>uiLimits no contiene la clave SOLICITAR_DATOS_INTERVINIENTES (no se emite false por defecto)</t>
        </is>
      </c>
      <c r="I45" s="9" t="inlineStr"/>
      <c r="J45" s="14" t="inlineStr">
        <is>
          <t>Pendiente</t>
        </is>
      </c>
      <c r="K45" s="9" t="inlineStr"/>
      <c r="L45" s="9" t="inlineStr"/>
      <c r="M45" s="9" t="inlineStr"/>
    </row>
    <row r="46">
      <c r="A46" s="9" t="inlineStr">
        <is>
          <t>Simulador de alta</t>
        </is>
      </c>
      <c r="B46" s="5" t="inlineStr">
        <is>
          <t>CU-06</t>
        </is>
      </c>
      <c r="C46" s="9" t="inlineStr">
        <is>
          <t>Flag SOLICITAR_DATOS_INTERVINIENTES</t>
        </is>
      </c>
      <c r="D46" s="5" t="inlineStr">
        <is>
          <t>CU-06-4</t>
        </is>
      </c>
      <c r="E46" s="9" t="inlineStr">
        <is>
          <t>Motor &gt; propagación</t>
        </is>
      </c>
      <c r="F46" s="9" t="inlineStr">
        <is>
          <t>El flag se propaga en las tres fases (INIT, PRE, FINAL) de forma independiente</t>
        </is>
      </c>
      <c r="G46" s="9" t="inlineStr">
        <is>
          <t>P1 evaluado en INIT, PRE y FINAL</t>
        </is>
      </c>
      <c r="H46" s="9" t="inlineStr">
        <is>
          <t>El flag aparece en dictamen de la oferta y en uiLimits de cada fase</t>
        </is>
      </c>
      <c r="I46" s="9" t="inlineStr"/>
      <c r="J46" s="14" t="inlineStr">
        <is>
          <t>Pendiente</t>
        </is>
      </c>
      <c r="K46" s="9" t="inlineStr"/>
      <c r="L46" s="9" t="inlineStr"/>
      <c r="M46" s="9" t="inlineStr"/>
    </row>
    <row r="47">
      <c r="A47" s="9" t="inlineStr">
        <is>
          <t>Simulador de alta</t>
        </is>
      </c>
      <c r="B47" s="5" t="inlineStr">
        <is>
          <t>CU-06</t>
        </is>
      </c>
      <c r="C47" s="9" t="inlineStr">
        <is>
          <t>Flag SOLICITAR_DATOS_INTERVINIENTES</t>
        </is>
      </c>
      <c r="D47" s="5" t="inlineStr">
        <is>
          <t>CU-06-5</t>
        </is>
      </c>
      <c r="E47" s="9" t="inlineStr">
        <is>
          <t>Simulador &gt; Tarjeta resumen</t>
        </is>
      </c>
      <c r="F47" s="9" t="inlineStr">
        <is>
          <t>Los 3 simuladores muestran el flag en la tarjeta de resumen de uiLimits como "Sí" cuando es true</t>
        </is>
      </c>
      <c r="G47" s="9" t="inlineStr">
        <is>
          <t>P1 (JOVEN_* elegible) en simulador INIT/PRE/FINAL</t>
        </is>
      </c>
      <c r="H47" s="9" t="inlineStr">
        <is>
          <t>Se muestra la fila "Solicitar datos intervinientes: Sí"</t>
        </is>
      </c>
      <c r="I47" s="9" t="inlineStr"/>
      <c r="J47" s="14" t="inlineStr">
        <is>
          <t>Pendiente</t>
        </is>
      </c>
      <c r="K47" s="9" t="inlineStr"/>
      <c r="L47" s="9" t="inlineStr"/>
      <c r="M47" s="9" t="inlineStr"/>
    </row>
    <row r="48">
      <c r="A48" s="9" t="inlineStr">
        <is>
          <t>Simulador de alta</t>
        </is>
      </c>
      <c r="B48" s="5" t="inlineStr">
        <is>
          <t>CU-06</t>
        </is>
      </c>
      <c r="C48" s="9" t="inlineStr">
        <is>
          <t>Flag SOLICITAR_DATOS_INTERVINIENTES</t>
        </is>
      </c>
      <c r="D48" s="5" t="inlineStr">
        <is>
          <t>CU-06-6</t>
        </is>
      </c>
      <c r="E48" s="9" t="inlineStr">
        <is>
          <t>Simulador &gt; Tarjeta resumen</t>
        </is>
      </c>
      <c r="F48" s="9" t="inlineStr">
        <is>
          <t>El flag se muestra como "No" cuando es false</t>
        </is>
      </c>
      <c r="G48" s="9" t="inlineStr">
        <is>
          <t>P4 (solo CLIENTES) en cualquier simulador</t>
        </is>
      </c>
      <c r="H48" s="9" t="inlineStr">
        <is>
          <t>Se muestra "Solicitar datos intervinientes: No"</t>
        </is>
      </c>
      <c r="I48" s="9" t="inlineStr"/>
      <c r="J48" s="14" t="inlineStr">
        <is>
          <t>Pendiente</t>
        </is>
      </c>
      <c r="K48" s="9" t="inlineStr"/>
      <c r="L48" s="9" t="inlineStr"/>
      <c r="M48" s="9" t="inlineStr"/>
    </row>
    <row r="49">
      <c r="A49" s="9" t="inlineStr">
        <is>
          <t>Simulador de alta</t>
        </is>
      </c>
      <c r="B49" s="5" t="inlineStr">
        <is>
          <t>CU-06</t>
        </is>
      </c>
      <c r="C49" s="9" t="inlineStr">
        <is>
          <t>Flag SOLICITAR_DATOS_INTERVINIENTES</t>
        </is>
      </c>
      <c r="D49" s="5" t="inlineStr">
        <is>
          <t>CU-06-7</t>
        </is>
      </c>
      <c r="E49" s="9" t="inlineStr">
        <is>
          <t>Simulador &gt; Tarjeta resumen</t>
        </is>
      </c>
      <c r="F49" s="9" t="inlineStr">
        <is>
          <t>Cuando el flag está ausente, no se muestra la fila</t>
        </is>
      </c>
      <c r="G49" s="9" t="inlineStr">
        <is>
          <t>P5 (sin ofertas elegibles)</t>
        </is>
      </c>
      <c r="H49" s="9" t="inlineStr">
        <is>
          <t>No aparece ninguna fila para SOLICITAR_DATOS_INTERVINIENTES en la tarjeta</t>
        </is>
      </c>
      <c r="I49" s="9" t="inlineStr"/>
      <c r="J49" s="14" t="inlineStr">
        <is>
          <t>Pendiente</t>
        </is>
      </c>
      <c r="K49" s="9" t="inlineStr"/>
      <c r="L49" s="9" t="inlineStr"/>
      <c r="M49" s="9" t="inlineStr"/>
    </row>
    <row r="50">
      <c r="A50" s="9" t="inlineStr">
        <is>
          <t>Simulador de alta</t>
        </is>
      </c>
      <c r="B50" s="5" t="inlineStr">
        <is>
          <t>CU-06</t>
        </is>
      </c>
      <c r="C50" s="9" t="inlineStr">
        <is>
          <t>Flag SOLICITAR_DATOS_INTERVINIENTES</t>
        </is>
      </c>
      <c r="D50" s="5" t="inlineStr">
        <is>
          <t>CU-06-8</t>
        </is>
      </c>
      <c r="E50" s="9" t="inlineStr">
        <is>
          <t>Simulador &gt; Panel por oferta</t>
        </is>
      </c>
      <c r="F50" s="9" t="inlineStr">
        <is>
          <t>El panel expandible de propiedades adicionales de cada oferta muestra SOLICITAR_DATOS_INTERVINIENTES con su valor</t>
        </is>
      </c>
      <c r="G50" s="9" t="inlineStr">
        <is>
          <t>Expandir el panel de una oferta JOVEN_* elegible</t>
        </is>
      </c>
      <c r="H50" s="9" t="inlineStr">
        <is>
          <t>El panel muestra la entrada SOLICITAR_DATOS_INTERVINIENTES: true (clave y valor)</t>
        </is>
      </c>
      <c r="I50" s="9" t="inlineStr"/>
      <c r="J50" s="14" t="inlineStr">
        <is>
          <t>Pendiente</t>
        </is>
      </c>
      <c r="K50" s="9" t="inlineStr"/>
      <c r="L50" s="9" t="inlineStr"/>
      <c r="M50" s="9" t="inlineStr"/>
    </row>
    <row r="51">
      <c r="A51" s="9" t="inlineStr">
        <is>
          <t>Simulador de alta</t>
        </is>
      </c>
      <c r="B51" s="5" t="inlineStr">
        <is>
          <t>CU-06</t>
        </is>
      </c>
      <c r="C51" s="9" t="inlineStr">
        <is>
          <t>Flag SOLICITAR_DATOS_INTERVINIENTES</t>
        </is>
      </c>
      <c r="D51" s="5" t="inlineStr">
        <is>
          <t>CU-06-9</t>
        </is>
      </c>
      <c r="E51" s="9" t="inlineStr">
        <is>
          <t>Simulador &gt; Panel por oferta</t>
        </is>
      </c>
      <c r="F51" s="9" t="inlineStr">
        <is>
          <t>El panel genérico ignora los límites numéricos y flags internos conocidos (no los duplica)</t>
        </is>
      </c>
      <c r="G51" s="9" t="inlineStr">
        <is>
          <t>Oferta con dictamen completo de límites</t>
        </is>
      </c>
      <c r="H51" s="9" t="inlineStr">
        <is>
          <t>El panel solo lista propiedades fuera del set conocido (MIN/MAX_HIPOTECA, plazos, LTV, EDAD_PLAZO, initEligible, preEligible, eligible, rejected, selectedOffer, offerCode…); sin duplicados</t>
        </is>
      </c>
      <c r="I51" s="9" t="inlineStr"/>
      <c r="J51" s="14" t="inlineStr">
        <is>
          <t>Pendiente</t>
        </is>
      </c>
      <c r="K51" s="9" t="inlineStr"/>
      <c r="L51" s="9" t="inlineStr"/>
      <c r="M51" s="9" t="inlineStr"/>
    </row>
    <row r="52">
      <c r="A52" s="9" t="inlineStr">
        <is>
          <t>Simulador de alta</t>
        </is>
      </c>
      <c r="B52" s="5" t="inlineStr">
        <is>
          <t>CU-07</t>
        </is>
      </c>
      <c r="C52" s="9" t="inlineStr">
        <is>
          <t>Evaluación FINAL y visualización de ofertas</t>
        </is>
      </c>
      <c r="D52" s="5" t="inlineStr">
        <is>
          <t>CU-07-1</t>
        </is>
      </c>
      <c r="E52" s="9" t="inlineStr">
        <is>
          <t>Simulador &gt; FINAL</t>
        </is>
      </c>
      <c r="F52" s="9" t="inlineStr">
        <is>
          <t>El botón Calcular lanza la evaluación FINAL</t>
        </is>
      </c>
      <c r="G52" s="9" t="inlineStr">
        <is>
          <t>P1, importeHipoteca = 200.000 €, importeVivienda = 250.000 € (LTV 80 %), plazo 30 años</t>
        </is>
      </c>
      <c r="H52" s="9" t="inlineStr">
        <is>
          <t>Se llama al motor en fase FINAL; se muestra resultado</t>
        </is>
      </c>
      <c r="I52" s="9" t="inlineStr"/>
      <c r="J52" s="14" t="inlineStr">
        <is>
          <t>Pendiente</t>
        </is>
      </c>
      <c r="K52" s="9" t="inlineStr"/>
      <c r="L52" s="9" t="inlineStr"/>
      <c r="M52" s="9" t="inlineStr"/>
    </row>
    <row r="53">
      <c r="A53" s="9" t="inlineStr">
        <is>
          <t>Simulador de alta</t>
        </is>
      </c>
      <c r="B53" s="5" t="inlineStr">
        <is>
          <t>CU-07</t>
        </is>
      </c>
      <c r="C53" s="9" t="inlineStr">
        <is>
          <t>Evaluación FINAL y visualización de ofertas</t>
        </is>
      </c>
      <c r="D53" s="5" t="inlineStr">
        <is>
          <t>CU-07-2</t>
        </is>
      </c>
      <c r="E53" s="9" t="inlineStr">
        <is>
          <t>Simulador &gt; FINAL</t>
        </is>
      </c>
      <c r="F53" s="9" t="inlineStr">
        <is>
          <t>La oferta ganadora queda resaltada visualmente en la tabla</t>
        </is>
      </c>
      <c r="G53" s="9" t="inlineStr">
        <is>
          <t>P1, LTV 85 %, plazo 30 → ganadora esperada JOVEN_ALTO_LTV (rank 90)</t>
        </is>
      </c>
      <c r="H53" s="9" t="inlineStr">
        <is>
          <t>JOVEN_ALTO_LTV aparece en la tabla con indicación visual de ganadora</t>
        </is>
      </c>
      <c r="I53" s="9" t="inlineStr"/>
      <c r="J53" s="14" t="inlineStr">
        <is>
          <t>Pendiente</t>
        </is>
      </c>
      <c r="K53" s="9" t="inlineStr"/>
      <c r="L53" s="9" t="inlineStr"/>
      <c r="M53" s="9" t="inlineStr"/>
    </row>
    <row r="54">
      <c r="A54" s="9" t="inlineStr">
        <is>
          <t>Simulador de alta</t>
        </is>
      </c>
      <c r="B54" s="5" t="inlineStr">
        <is>
          <t>CU-07</t>
        </is>
      </c>
      <c r="C54" s="9" t="inlineStr">
        <is>
          <t>Evaluación FINAL y visualización de ofertas</t>
        </is>
      </c>
      <c r="D54" s="5" t="inlineStr">
        <is>
          <t>CU-07-3</t>
        </is>
      </c>
      <c r="E54" s="9" t="inlineStr">
        <is>
          <t>Simulador &gt; FINAL</t>
        </is>
      </c>
      <c r="F54" s="9" t="inlineStr">
        <is>
          <t>Con LTV 85 % y plazo 35 años la ganadora es JOVEN_COMBINADA (rank 100)</t>
        </is>
      </c>
      <c r="G54" s="9" t="inlineStr">
        <is>
          <t>P1, importeVivienda = 250.000 €, importeHipoteca = 212.500 € (LTV 85 %), plazo 35, edadMasPlazo = 35+35 = 70 ≤ 75</t>
        </is>
      </c>
      <c r="H54" s="9" t="inlineStr">
        <is>
          <t>Tabla muestra JOVEN_COMBINADA como ganadora (rank 100); JOVEN_ALTO_LTV también elegible</t>
        </is>
      </c>
      <c r="I54" s="9" t="inlineStr"/>
      <c r="J54" s="14" t="inlineStr">
        <is>
          <t>Pendiente</t>
        </is>
      </c>
      <c r="K54" s="9" t="inlineStr"/>
      <c r="L54" s="9" t="inlineStr"/>
      <c r="M54" s="9" t="inlineStr"/>
    </row>
    <row r="55">
      <c r="A55" s="9" t="inlineStr">
        <is>
          <t>Simulador de alta</t>
        </is>
      </c>
      <c r="B55" s="5" t="inlineStr">
        <is>
          <t>CU-07</t>
        </is>
      </c>
      <c r="C55" s="9" t="inlineStr">
        <is>
          <t>Evaluación FINAL y visualización de ofertas</t>
        </is>
      </c>
      <c r="D55" s="5" t="inlineStr">
        <is>
          <t>CU-07-4</t>
        </is>
      </c>
      <c r="E55" s="9" t="inlineStr">
        <is>
          <t>Simulador &gt; FINAL</t>
        </is>
      </c>
      <c r="F55" s="9" t="inlineStr">
        <is>
          <t>Con LTV 75 % y plazo 25 años, edad 42, la ganadora es JOVEN_MEJOR_PRECIO_ALTO_VALOR (rank 70)</t>
        </is>
      </c>
      <c r="G55" s="9" t="inlineStr">
        <is>
          <t>P3: edad 42, ant. 14 m (≥12), ing. 2.500 €, LTV 75 %, plazo 25, edadMasPlazo = 42+25 = 67 ≤ 80</t>
        </is>
      </c>
      <c r="H55" s="9" t="inlineStr">
        <is>
          <t>Ganadora JOVEN_MEJOR_PRECIO_ALTO_VALOR; JOVEN_MEJOR_PRECIO también elegible (rank 60)</t>
        </is>
      </c>
      <c r="I55" s="9" t="inlineStr"/>
      <c r="J55" s="14" t="inlineStr">
        <is>
          <t>Pendiente</t>
        </is>
      </c>
      <c r="K55" s="9" t="inlineStr"/>
      <c r="L55" s="9" t="inlineStr"/>
      <c r="M55" s="9" t="inlineStr"/>
    </row>
    <row r="56">
      <c r="A56" s="9" t="inlineStr">
        <is>
          <t>Simulador de alta</t>
        </is>
      </c>
      <c r="B56" s="5" t="inlineStr">
        <is>
          <t>CU-07</t>
        </is>
      </c>
      <c r="C56" s="9" t="inlineStr">
        <is>
          <t>Evaluación FINAL y visualización de ofertas</t>
        </is>
      </c>
      <c r="D56" s="5" t="inlineStr">
        <is>
          <t>CU-07-5</t>
        </is>
      </c>
      <c r="E56" s="9" t="inlineStr">
        <is>
          <t>Simulador &gt; FINAL</t>
        </is>
      </c>
      <c r="F56" s="9" t="inlineStr">
        <is>
          <t>Con solo CLIENTES elegible, se muestra indicación correspondiente en pantalla</t>
        </is>
      </c>
      <c r="G56" s="9" t="inlineStr">
        <is>
          <t>P4: edad 46, ant. 8 m; solo CLIENTES pasa INIT y FINAL</t>
        </is>
      </c>
      <c r="H56" s="9" t="inlineStr">
        <is>
          <t>*[Confirmar con equipo: ¿se muestra tabla con CLIENTES o simplemente mensaje de "oferta disponible"?]*</t>
        </is>
      </c>
      <c r="I56" s="9" t="inlineStr"/>
      <c r="J56" s="14" t="inlineStr">
        <is>
          <t>Pendiente</t>
        </is>
      </c>
      <c r="K56" s="9" t="inlineStr"/>
      <c r="L56" s="9" t="inlineStr"/>
      <c r="M56" s="9" t="inlineStr"/>
    </row>
    <row r="57">
      <c r="A57" s="9" t="inlineStr">
        <is>
          <t>Simulador de alta</t>
        </is>
      </c>
      <c r="B57" s="5" t="inlineStr">
        <is>
          <t>CU-07</t>
        </is>
      </c>
      <c r="C57" s="9" t="inlineStr">
        <is>
          <t>Evaluación FINAL y visualización de ofertas</t>
        </is>
      </c>
      <c r="D57" s="5" t="inlineStr">
        <is>
          <t>CU-07-6</t>
        </is>
      </c>
      <c r="E57" s="9" t="inlineStr">
        <is>
          <t>Simulador &gt; FINAL</t>
        </is>
      </c>
      <c r="F57" s="9" t="inlineStr">
        <is>
          <t>Sin ninguna oferta elegible en FINAL, no se muestra tabla y se informa al usuario</t>
        </is>
      </c>
      <c r="G57" s="9" t="inlineStr">
        <is>
          <t>LTV 97 % (supera MAX_LTV de todas las ofertas)</t>
        </is>
      </c>
      <c r="H57" s="9" t="inlineStr">
        <is>
          <t>No aparece tabla de ofertas; se muestra mensaje informativo</t>
        </is>
      </c>
      <c r="I57" s="9" t="inlineStr"/>
      <c r="J57" s="14" t="inlineStr">
        <is>
          <t>Pendiente</t>
        </is>
      </c>
      <c r="K57" s="9" t="inlineStr"/>
      <c r="L57" s="9" t="inlineStr"/>
      <c r="M57" s="9" t="inlineStr"/>
    </row>
    <row r="58">
      <c r="A58" s="9" t="inlineStr">
        <is>
          <t>Simulador de alta</t>
        </is>
      </c>
      <c r="B58" s="5" t="inlineStr">
        <is>
          <t>CU-07</t>
        </is>
      </c>
      <c r="C58" s="9" t="inlineStr">
        <is>
          <t>Evaluación FINAL y visualización de ofertas</t>
        </is>
      </c>
      <c r="D58" s="5" t="inlineStr">
        <is>
          <t>CU-07-7</t>
        </is>
      </c>
      <c r="E58" s="9" t="inlineStr">
        <is>
          <t>Simulador &gt; FINAL</t>
        </is>
      </c>
      <c r="F58" s="9" t="inlineStr">
        <is>
          <t>Las ofertas sin precio configurado en el sistema no se presentan al motor ni aparecen en resultados</t>
        </is>
      </c>
      <c r="G58" s="9" t="inlineStr">
        <is>
          <t>Deshabilitar precio de JOVEN_COMBINADA en el sistema</t>
        </is>
      </c>
      <c r="H58" s="9" t="inlineStr">
        <is>
          <t>JOVEN_COMBINADA no aparece en la tabla aunque técnicamente hubiera sido elegible</t>
        </is>
      </c>
      <c r="I58" s="9" t="inlineStr"/>
      <c r="J58" s="14" t="inlineStr">
        <is>
          <t>Pendiente</t>
        </is>
      </c>
      <c r="K58" s="9" t="inlineStr"/>
      <c r="L58" s="9" t="inlineStr"/>
      <c r="M58" s="9" t="inlineStr"/>
    </row>
    <row r="59">
      <c r="A59" s="9" t="inlineStr">
        <is>
          <t>Simulador de alta</t>
        </is>
      </c>
      <c r="B59" s="5" t="inlineStr">
        <is>
          <t>CU-07</t>
        </is>
      </c>
      <c r="C59" s="9" t="inlineStr">
        <is>
          <t>Evaluación FINAL y visualización de ofertas</t>
        </is>
      </c>
      <c r="D59" s="5" t="inlineStr">
        <is>
          <t>CU-07-8</t>
        </is>
      </c>
      <c r="E59" s="9" t="inlineStr">
        <is>
          <t>Simulador &gt; FINAL</t>
        </is>
      </c>
      <c r="F59" s="9" t="inlineStr">
        <is>
          <t>El campo plazo fijo se muestra cuando el producto es OpenVariable o OpenMixta</t>
        </is>
      </c>
      <c r="G59" s="9" t="inlineStr">
        <is>
          <t>Producto = OpenVariable</t>
        </is>
      </c>
      <c r="H59" s="9" t="inlineStr">
        <is>
          <t>Se muestra campo "plazo fijo" en el formulario de préstamo y se incluye en la llamada al motor</t>
        </is>
      </c>
      <c r="I59" s="9" t="inlineStr"/>
      <c r="J59" s="14" t="inlineStr">
        <is>
          <t>Pendiente</t>
        </is>
      </c>
      <c r="K59" s="9" t="inlineStr"/>
      <c r="L59" s="9" t="inlineStr"/>
      <c r="M59" s="9" t="inlineStr"/>
    </row>
    <row r="60">
      <c r="A60" s="9" t="inlineStr">
        <is>
          <t>Simulador de alta</t>
        </is>
      </c>
      <c r="B60" s="5" t="inlineStr">
        <is>
          <t>CU-07</t>
        </is>
      </c>
      <c r="C60" s="9" t="inlineStr">
        <is>
          <t>Evaluación FINAL y visualización de ofertas</t>
        </is>
      </c>
      <c r="D60" s="5" t="inlineStr">
        <is>
          <t>CU-07-9</t>
        </is>
      </c>
      <c r="E60" s="9" t="inlineStr">
        <is>
          <t>Simulador &gt; FINAL</t>
        </is>
      </c>
      <c r="F60" s="9" t="inlineStr">
        <is>
          <t>Límite superior LTV de JOVEN_COMBINADA inclusivo en 90 %: con LTV = 90 % exacto y plazo 35 la oferta es elegible y ganadora</t>
        </is>
      </c>
      <c r="G60" s="9" t="inlineStr">
        <is>
          <t>P1, importeVivienda = 250.000 €, importeHipoteca = 225.000 € (LTV 90 %), plazo 35, edadMasPlazo = 70 ≤ 75</t>
        </is>
      </c>
      <c r="H60" s="9" t="inlineStr">
        <is>
          <t>JOVEN_COMBINADA elegible y ganadora (rank 100); MAX_LTV = 0.90 no dispara con GT en el límite exacto</t>
        </is>
      </c>
      <c r="I60" s="9" t="inlineStr"/>
      <c r="J60" s="14" t="inlineStr">
        <is>
          <t>Pendiente</t>
        </is>
      </c>
      <c r="K60" s="9" t="inlineStr"/>
      <c r="L60" s="9" t="inlineStr"/>
      <c r="M60" s="9" t="inlineStr"/>
    </row>
    <row r="61">
      <c r="A61" s="9" t="inlineStr">
        <is>
          <t>Simulador de alta</t>
        </is>
      </c>
      <c r="B61" s="5" t="inlineStr">
        <is>
          <t>CU-07</t>
        </is>
      </c>
      <c r="C61" s="9" t="inlineStr">
        <is>
          <t>Evaluación FINAL y visualización de ofertas</t>
        </is>
      </c>
      <c r="D61" s="5" t="inlineStr">
        <is>
          <t>CU-07-10</t>
        </is>
      </c>
      <c r="E61" s="9" t="inlineStr">
        <is>
          <t>Simulador &gt; FINAL</t>
        </is>
      </c>
      <c r="F61" s="9" t="inlineStr">
        <is>
          <t>Regresión MAX_LTV 0,95 → 0,90: con LTV = 92 % JOVEN_COMBINADA queda rechazada (antes era elegible)</t>
        </is>
      </c>
      <c r="G61" s="9" t="inlineStr">
        <is>
          <t>P1, importeVivienda = 250.000 €, importeHipoteca = 230.000 € (LTV 92 %), plazo 35</t>
        </is>
      </c>
      <c r="H61" s="9" t="inlineStr">
        <is>
          <t>JOVEN_COMBINADA NO elegible (92 % &gt; 90 %); ninguna JOVEN_* admite 92 % a ese plazo → gana CLIENTES</t>
        </is>
      </c>
      <c r="I61" s="9" t="inlineStr"/>
      <c r="J61" s="14" t="inlineStr">
        <is>
          <t>Pendiente</t>
        </is>
      </c>
      <c r="K61" s="9" t="inlineStr"/>
      <c r="L61" s="9" t="inlineStr"/>
      <c r="M61" s="9" t="inlineStr"/>
    </row>
    <row r="62">
      <c r="A62" s="9" t="inlineStr">
        <is>
          <t>Simulador de alta</t>
        </is>
      </c>
      <c r="B62" s="5" t="inlineStr">
        <is>
          <t>CU-08</t>
        </is>
      </c>
      <c r="C62" s="9" t="inlineStr">
        <is>
          <t>Ajuste automático de importes y plazos</t>
        </is>
      </c>
      <c r="D62" s="5" t="inlineStr">
        <is>
          <t>CU-08-1</t>
        </is>
      </c>
      <c r="E62" s="9" t="inlineStr">
        <is>
          <t>Simulador &gt; Ajuste</t>
        </is>
      </c>
      <c r="F62" s="9" t="inlineStr">
        <is>
          <t>Reducción del maxLTV disponible → importeHipoteca se ajusta automáticamente</t>
        </is>
      </c>
      <c r="G62" s="9" t="inlineStr">
        <is>
          <t>Inicial: JOVEN_COMBINADA elegible (maxLTV 95 %), importeHipoteca = 212.500 € (85 % de 250.000 €). Cambio: reducir ingresos hasta que solo JOVEN_MEJOR_PRECIO sea elegible (maxLTV 80 %)</t>
        </is>
      </c>
      <c r="H62" s="9" t="inlineStr">
        <is>
          <t>importeHipoteca se reduce automáticamente a 200.000 € (80 % de 250.000 €)</t>
        </is>
      </c>
      <c r="I62" s="9" t="inlineStr"/>
      <c r="J62" s="14" t="inlineStr">
        <is>
          <t>Pendiente</t>
        </is>
      </c>
      <c r="K62" s="9" t="inlineStr"/>
      <c r="L62" s="9" t="inlineStr"/>
      <c r="M62" s="9" t="inlineStr"/>
    </row>
    <row r="63">
      <c r="A63" s="9" t="inlineStr">
        <is>
          <t>Simulador de alta</t>
        </is>
      </c>
      <c r="B63" s="5" t="inlineStr">
        <is>
          <t>CU-08</t>
        </is>
      </c>
      <c r="C63" s="9" t="inlineStr">
        <is>
          <t>Ajuste automático de importes y plazos</t>
        </is>
      </c>
      <c r="D63" s="5" t="inlineStr">
        <is>
          <t>CU-08-2</t>
        </is>
      </c>
      <c r="E63" s="9" t="inlineStr">
        <is>
          <t>Simulador &gt; Ajuste</t>
        </is>
      </c>
      <c r="F63" s="9" t="inlineStr">
        <is>
          <t>Reducción del maxPlazo disponible → plazo se ajusta automáticamente</t>
        </is>
      </c>
      <c r="G63" s="9" t="inlineStr">
        <is>
          <t>Inicial: JOVEN_COMBINADA elegible (maxPlazo 40), plazo = 38. Cambio: reducir ingresos → solo JOVEN_MEJOR_PRECIO elegible (maxPlazo 30)</t>
        </is>
      </c>
      <c r="H63" s="9" t="inlineStr">
        <is>
          <t>Plazo se reduce automáticamente a 30 años</t>
        </is>
      </c>
      <c r="I63" s="9" t="inlineStr"/>
      <c r="J63" s="14" t="inlineStr">
        <is>
          <t>Pendiente</t>
        </is>
      </c>
      <c r="K63" s="9" t="inlineStr"/>
      <c r="L63" s="9" t="inlineStr"/>
      <c r="M63" s="9" t="inlineStr"/>
    </row>
    <row r="64">
      <c r="A64" s="9" t="inlineStr">
        <is>
          <t>Simulador de alta</t>
        </is>
      </c>
      <c r="B64" s="5" t="inlineStr">
        <is>
          <t>CU-08</t>
        </is>
      </c>
      <c r="C64" s="9" t="inlineStr">
        <is>
          <t>Ajuste automático de importes y plazos</t>
        </is>
      </c>
      <c r="D64" s="5" t="inlineStr">
        <is>
          <t>CU-08-3</t>
        </is>
      </c>
      <c r="E64" s="9" t="inlineStr">
        <is>
          <t>Simulador &gt; Ajuste</t>
        </is>
      </c>
      <c r="F64" s="9" t="inlineStr">
        <is>
          <t>Si el importe actual ya cumple el nuevo límite de LTV, no se modifica</t>
        </is>
      </c>
      <c r="G64" s="9" t="inlineStr">
        <is>
          <t>Inicial: importeHipoteca = 180.000 € (72 % de 250.000 €). Cambio de oferta: nuevo maxLTV = 80 %</t>
        </is>
      </c>
      <c r="H64" s="9" t="inlineStr">
        <is>
          <t>importeHipoteca no varía (72 % &lt; 80 %)</t>
        </is>
      </c>
      <c r="I64" s="9" t="inlineStr"/>
      <c r="J64" s="14" t="inlineStr">
        <is>
          <t>Pendiente</t>
        </is>
      </c>
      <c r="K64" s="9" t="inlineStr"/>
      <c r="L64" s="9" t="inlineStr"/>
      <c r="M64" s="9" t="inlineStr"/>
    </row>
    <row r="65">
      <c r="A65" s="9" t="inlineStr">
        <is>
          <t>Simulador de alta</t>
        </is>
      </c>
      <c r="B65" s="5" t="inlineStr">
        <is>
          <t>CU-08</t>
        </is>
      </c>
      <c r="C65" s="9" t="inlineStr">
        <is>
          <t>Ajuste automático de importes y plazos</t>
        </is>
      </c>
      <c r="D65" s="5" t="inlineStr">
        <is>
          <t>CU-08-4</t>
        </is>
      </c>
      <c r="E65" s="9" t="inlineStr">
        <is>
          <t>Simulador &gt; Ajuste</t>
        </is>
      </c>
      <c r="F65" s="9" t="inlineStr">
        <is>
          <t>Cambiar finalidad a 2ª vivienda aplica límites de sistema (maxPlazo = 25, maxLTV = 75 %) cuando se superan</t>
        </is>
      </c>
      <c r="G65" s="9" t="inlineStr">
        <is>
          <t>Plazo actual = 30, LTV actual = 85 %. Cambiar finalidad de 1ª a 2ª vivienda</t>
        </is>
      </c>
      <c r="H65" s="9" t="inlineStr">
        <is>
          <t>Plazo se ajusta a 25 años; importeHipoteca se reduce para que LTV ≤ 75 %</t>
        </is>
      </c>
      <c r="I65" s="9" t="inlineStr"/>
      <c r="J65" s="14" t="inlineStr">
        <is>
          <t>Pendiente</t>
        </is>
      </c>
      <c r="K65" s="9" t="inlineStr"/>
      <c r="L65" s="9" t="inlineStr"/>
      <c r="M65" s="9" t="inlineStr"/>
    </row>
    <row r="66">
      <c r="A66" s="9" t="inlineStr">
        <is>
          <t>Simulador de alta</t>
        </is>
      </c>
      <c r="B66" s="5" t="inlineStr">
        <is>
          <t>CU-08</t>
        </is>
      </c>
      <c r="C66" s="9" t="inlineStr">
        <is>
          <t>Ajuste automático de importes y plazos</t>
        </is>
      </c>
      <c r="D66" s="5" t="inlineStr">
        <is>
          <t>CU-08-5</t>
        </is>
      </c>
      <c r="E66" s="9" t="inlineStr">
        <is>
          <t>Simulador &gt; Ajuste</t>
        </is>
      </c>
      <c r="F66" s="9" t="inlineStr">
        <is>
          <t>2ª vivienda: si plazo y LTV ya cumplen los límites de sistema, no se ajustan</t>
        </is>
      </c>
      <c r="G66" s="9" t="inlineStr">
        <is>
          <t>Plazo = 20, LTV = 70 %. Cambiar finalidad a 2ª vivienda</t>
        </is>
      </c>
      <c r="H66" s="9" t="inlineStr">
        <is>
          <t>Plazo y LTV no se modifican</t>
        </is>
      </c>
      <c r="I66" s="9" t="inlineStr"/>
      <c r="J66" s="14" t="inlineStr">
        <is>
          <t>Pendiente</t>
        </is>
      </c>
      <c r="K66" s="9" t="inlineStr"/>
      <c r="L66" s="9" t="inlineStr"/>
      <c r="M66" s="9" t="inlineStr"/>
    </row>
    <row r="67">
      <c r="A67" s="9" t="inlineStr">
        <is>
          <t>Simulador de alta</t>
        </is>
      </c>
      <c r="B67" s="5" t="inlineStr">
        <is>
          <t>CU-08</t>
        </is>
      </c>
      <c r="C67" s="9" t="inlineStr">
        <is>
          <t>Ajuste automático de importes y plazos</t>
        </is>
      </c>
      <c r="D67" s="5" t="inlineStr">
        <is>
          <t>CU-08-6</t>
        </is>
      </c>
      <c r="E67" s="9" t="inlineStr">
        <is>
          <t>Simulador &gt; Ajuste</t>
        </is>
      </c>
      <c r="F67" s="9" t="inlineStr">
        <is>
          <t>El ajuste aplica también en evaluaciones FINAL sucesivas</t>
        </is>
      </c>
      <c r="G67" s="9" t="inlineStr">
        <is>
          <t>FINAL #1: JOVEN_COMBINADA ganadora, plazo 35. FINAL #2 con los mismos datos pero JOVEN_COMBINADA inelegible → solo JOVEN_MEJOR_PRECIO (maxPlazo 30)</t>
        </is>
      </c>
      <c r="H67" s="9" t="inlineStr">
        <is>
          <t>Plazo ajustado automáticamente a 30 tras FINAL #2</t>
        </is>
      </c>
      <c r="I67" s="9" t="inlineStr"/>
      <c r="J67" s="14" t="inlineStr">
        <is>
          <t>Pendiente</t>
        </is>
      </c>
      <c r="K67" s="9" t="inlineStr"/>
      <c r="L67" s="9" t="inlineStr"/>
      <c r="M67" s="9" t="inlineStr"/>
    </row>
    <row r="68">
      <c r="A68" s="9" t="inlineStr">
        <is>
          <t>Pantalla de pre-aprobación</t>
        </is>
      </c>
      <c r="B68" s="5" t="inlineStr">
        <is>
          <t>CU-09</t>
        </is>
      </c>
      <c r="C68" s="9" t="inlineStr">
        <is>
          <t>Pantalla de pre-aprobación</t>
        </is>
      </c>
      <c r="D68" s="5" t="inlineStr">
        <is>
          <t>CU-09-1</t>
        </is>
      </c>
      <c r="E68" s="9" t="inlineStr">
        <is>
          <t>Pre-aprob. &gt; Campos</t>
        </is>
      </c>
      <c r="F68" s="9" t="inlineStr">
        <is>
          <t>El campo Número de pagas aparece para cada interviniente en la pantalla de pre-aprobación</t>
        </is>
      </c>
      <c r="G68" s="9" t="inlineStr">
        <is>
          <t>Expediente con 1 titular</t>
        </is>
      </c>
      <c r="H68" s="9" t="inlineStr">
        <is>
          <t>Campo "Número de pagas" visible para T1</t>
        </is>
      </c>
      <c r="I68" s="9" t="inlineStr"/>
      <c r="J68" s="14" t="inlineStr">
        <is>
          <t>Pendiente</t>
        </is>
      </c>
      <c r="K68" s="9" t="inlineStr"/>
      <c r="L68" s="9" t="inlineStr"/>
      <c r="M68" s="9" t="inlineStr"/>
    </row>
    <row r="69">
      <c r="A69" s="9" t="inlineStr">
        <is>
          <t>Pantalla de pre-aprobación</t>
        </is>
      </c>
      <c r="B69" s="5" t="inlineStr">
        <is>
          <t>CU-09</t>
        </is>
      </c>
      <c r="C69" s="9" t="inlineStr">
        <is>
          <t>Pantalla de pre-aprobación</t>
        </is>
      </c>
      <c r="D69" s="5" t="inlineStr">
        <is>
          <t>CU-09-2</t>
        </is>
      </c>
      <c r="E69" s="9" t="inlineStr">
        <is>
          <t>Pre-aprob. &gt; Campos</t>
        </is>
      </c>
      <c r="F69" s="9" t="inlineStr">
        <is>
          <t>El campo Número de pagas aparece para T1 y T2 en expedientes con 2 titulares</t>
        </is>
      </c>
      <c r="G69" s="9" t="inlineStr">
        <is>
          <t>Expediente con 2 titulares</t>
        </is>
      </c>
      <c r="H69" s="9" t="inlineStr">
        <is>
          <t>Campo "Número de pagas" visible para T1 y T2 por separado</t>
        </is>
      </c>
      <c r="I69" s="9" t="inlineStr"/>
      <c r="J69" s="14" t="inlineStr">
        <is>
          <t>Pendiente</t>
        </is>
      </c>
      <c r="K69" s="9" t="inlineStr"/>
      <c r="L69" s="9" t="inlineStr"/>
      <c r="M69" s="9" t="inlineStr"/>
    </row>
    <row r="70">
      <c r="A70" s="9" t="inlineStr">
        <is>
          <t>Pantalla de pre-aprobación</t>
        </is>
      </c>
      <c r="B70" s="5" t="inlineStr">
        <is>
          <t>CU-09</t>
        </is>
      </c>
      <c r="C70" s="9" t="inlineStr">
        <is>
          <t>Pantalla de pre-aprobación</t>
        </is>
      </c>
      <c r="D70" s="5" t="inlineStr">
        <is>
          <t>CU-09-3</t>
        </is>
      </c>
      <c r="E70" s="9" t="inlineStr">
        <is>
          <t>Pre-aprob. &gt; Motor</t>
        </is>
      </c>
      <c r="F70" s="9" t="inlineStr">
        <is>
          <t>Antes de evaluar la pre-aprobación se llama al motor de reglas con los datos actuales del expediente</t>
        </is>
      </c>
      <c r="G70" s="9" t="inlineStr">
        <is>
          <t>Abrir pantalla de pre-aprobación con datos completos</t>
        </is>
      </c>
      <c r="H70" s="9" t="inlineStr">
        <is>
          <t>Se realiza llamada al motor (verificar en trazas/logs) y se obtiene respuesta antes de continuar</t>
        </is>
      </c>
      <c r="I70" s="9" t="inlineStr"/>
      <c r="J70" s="14" t="inlineStr">
        <is>
          <t>Pendiente</t>
        </is>
      </c>
      <c r="K70" s="9" t="inlineStr"/>
      <c r="L70" s="9" t="inlineStr"/>
      <c r="M70" s="9" t="inlineStr"/>
    </row>
    <row r="71">
      <c r="A71" s="9" t="inlineStr">
        <is>
          <t>Pantalla de pre-aprobación</t>
        </is>
      </c>
      <c r="B71" s="5" t="inlineStr">
        <is>
          <t>CU-09</t>
        </is>
      </c>
      <c r="C71" s="9" t="inlineStr">
        <is>
          <t>Pantalla de pre-aprobación</t>
        </is>
      </c>
      <c r="D71" s="5" t="inlineStr">
        <is>
          <t>CU-09-4</t>
        </is>
      </c>
      <c r="E71" s="9" t="inlineStr">
        <is>
          <t>Pre-aprob. &gt; Motor</t>
        </is>
      </c>
      <c r="F71" s="9" t="inlineStr">
        <is>
          <t>Si la oferta pre-seleccionada sigue siendo válida, el flujo de pre-aprobación continúa normalmente</t>
        </is>
      </c>
      <c r="G71" s="9" t="inlineStr">
        <is>
          <t>Expediente cuya oferta sigue siendo elegible con los parámetros actuales</t>
        </is>
      </c>
      <c r="H71" s="9" t="inlineStr">
        <is>
          <t>No se muestra alerta; se continúa con la evaluación de pre-aprobación habitual</t>
        </is>
      </c>
      <c r="I71" s="9" t="inlineStr"/>
      <c r="J71" s="14" t="inlineStr">
        <is>
          <t>Pendiente</t>
        </is>
      </c>
      <c r="K71" s="9" t="inlineStr"/>
      <c r="L71" s="9" t="inlineStr"/>
      <c r="M71" s="9" t="inlineStr"/>
    </row>
    <row r="72">
      <c r="A72" s="9" t="inlineStr">
        <is>
          <t>Pantalla de pre-aprobación</t>
        </is>
      </c>
      <c r="B72" s="5" t="inlineStr">
        <is>
          <t>CU-09</t>
        </is>
      </c>
      <c r="C72" s="9" t="inlineStr">
        <is>
          <t>Pantalla de pre-aprobación</t>
        </is>
      </c>
      <c r="D72" s="5" t="inlineStr">
        <is>
          <t>CU-09-5</t>
        </is>
      </c>
      <c r="E72" s="9" t="inlineStr">
        <is>
          <t>Pre-aprob. &gt; Motor</t>
        </is>
      </c>
      <c r="F72" s="9" t="inlineStr">
        <is>
          <t>Si la oferta pre-seleccionada ya no es válida, se informa al usuario y se redirige al simulador</t>
        </is>
      </c>
      <c r="G72" s="9" t="inlineStr">
        <is>
          <t>Expediente cuya oferta ya no es elegible (parámetros cambiados desde la selección original)</t>
        </is>
      </c>
      <c r="H72" s="9" t="inlineStr">
        <is>
          <t>Se muestra mensaje informativo; el usuario es redirigido a la pantalla de simulación</t>
        </is>
      </c>
      <c r="I72" s="9" t="inlineStr"/>
      <c r="J72" s="14" t="inlineStr">
        <is>
          <t>Pendiente</t>
        </is>
      </c>
      <c r="K72" s="9" t="inlineStr"/>
      <c r="L72" s="9" t="inlineStr"/>
      <c r="M72" s="9" t="inlineStr"/>
    </row>
    <row r="73">
      <c r="A73" s="9" t="inlineStr">
        <is>
          <t>Pantalla de pre-aprobación</t>
        </is>
      </c>
      <c r="B73" s="5" t="inlineStr">
        <is>
          <t>CU-09</t>
        </is>
      </c>
      <c r="C73" s="9" t="inlineStr">
        <is>
          <t>Pantalla de pre-aprobación</t>
        </is>
      </c>
      <c r="D73" s="5" t="inlineStr">
        <is>
          <t>CU-09-6</t>
        </is>
      </c>
      <c r="E73" s="9" t="inlineStr">
        <is>
          <t>Pre-aprob. &gt; Motor</t>
        </is>
      </c>
      <c r="F73" s="9" t="inlineStr">
        <is>
          <t>En la redirección al simulador se muestran las nuevas ofertas elegibles con la nueva cuota</t>
        </is>
      </c>
      <c r="G73" s="9" t="inlineStr">
        <is>
          <t>Continuación de PREA-05</t>
        </is>
      </c>
      <c r="H73" s="9" t="inlineStr">
        <is>
          <t>El simulador muestra la tabla de ofertas actualizada con la nueva ganadora resaltada</t>
        </is>
      </c>
      <c r="I73" s="9" t="inlineStr"/>
      <c r="J73" s="14" t="inlineStr">
        <is>
          <t>Pendiente</t>
        </is>
      </c>
      <c r="K73" s="9" t="inlineStr"/>
      <c r="L73" s="9" t="inlineStr"/>
      <c r="M73" s="9" t="inlineStr"/>
    </row>
    <row r="74">
      <c r="A74" s="9" t="inlineStr">
        <is>
          <t>Pantalla de pre-aprobación</t>
        </is>
      </c>
      <c r="B74" s="5" t="inlineStr">
        <is>
          <t>CU-09</t>
        </is>
      </c>
      <c r="C74" s="9" t="inlineStr">
        <is>
          <t>Pantalla de pre-aprobación</t>
        </is>
      </c>
      <c r="D74" s="5" t="inlineStr">
        <is>
          <t>CU-09-7</t>
        </is>
      </c>
      <c r="E74" s="9" t="inlineStr">
        <is>
          <t>Pre-aprob. &gt; Guardado</t>
        </is>
      </c>
      <c r="F74" s="9" t="inlineStr">
        <is>
          <t>El campo Número de pagas se guarda correctamente por titular</t>
        </is>
      </c>
      <c r="G74" s="9" t="inlineStr">
        <is>
          <t>Introducir numPagas T1 = 12, T2 = 14; guardar</t>
        </is>
      </c>
      <c r="H74" s="9" t="inlineStr">
        <is>
          <t>Los valores quedan persistidos y se recuperan al reabrir el expediente</t>
        </is>
      </c>
      <c r="I74" s="9" t="inlineStr"/>
      <c r="J74" s="14" t="inlineStr">
        <is>
          <t>Pendiente</t>
        </is>
      </c>
      <c r="K74" s="9" t="inlineStr"/>
      <c r="L74" s="9" t="inlineStr"/>
      <c r="M74" s="9" t="inlineStr"/>
    </row>
    <row r="75">
      <c r="A75" s="9" t="inlineStr">
        <is>
          <t>Pantalla de datos del expediente</t>
        </is>
      </c>
      <c r="B75" s="5" t="inlineStr">
        <is>
          <t>CU-10</t>
        </is>
      </c>
      <c r="C75" s="9" t="inlineStr">
        <is>
          <t>Pantalla de datos del expediente</t>
        </is>
      </c>
      <c r="D75" s="5" t="inlineStr">
        <is>
          <t>CU-10-1</t>
        </is>
      </c>
      <c r="E75" s="9" t="inlineStr">
        <is>
          <t>Datos exp.</t>
        </is>
      </c>
      <c r="F75" s="9" t="inlineStr">
        <is>
          <t>El campo primeraViviendaHabitual aparece en la pantalla de datos del expediente</t>
        </is>
      </c>
      <c r="G75" s="9" t="inlineStr">
        <is>
          <t>Abrir datos del expediente de una hipoteca con oferta Joven</t>
        </is>
      </c>
      <c r="H75" s="9" t="inlineStr">
        <is>
          <t>El campo aparece con el valor introducido en el alta</t>
        </is>
      </c>
      <c r="I75" s="9" t="inlineStr"/>
      <c r="J75" s="14" t="inlineStr">
        <is>
          <t>Pendiente</t>
        </is>
      </c>
      <c r="K75" s="9" t="inlineStr"/>
      <c r="L75" s="9" t="inlineStr"/>
      <c r="M75" s="9" t="inlineStr"/>
    </row>
    <row r="76">
      <c r="A76" s="9" t="inlineStr">
        <is>
          <t>Pantalla de datos del expediente</t>
        </is>
      </c>
      <c r="B76" s="5" t="inlineStr">
        <is>
          <t>CU-10</t>
        </is>
      </c>
      <c r="C76" s="9" t="inlineStr">
        <is>
          <t>Pantalla de datos del expediente</t>
        </is>
      </c>
      <c r="D76" s="5" t="inlineStr">
        <is>
          <t>CU-10-2</t>
        </is>
      </c>
      <c r="E76" s="9" t="inlineStr">
        <is>
          <t>Datos exp.</t>
        </is>
      </c>
      <c r="F76" s="9" t="inlineStr">
        <is>
          <t>El valor coincide con lo introducido en el alta</t>
        </is>
      </c>
      <c r="G76" s="9" t="inlineStr">
        <is>
          <t>Expediente creado con primeraViviendaHabitual = Sí</t>
        </is>
      </c>
      <c r="H76" s="9" t="inlineStr">
        <is>
          <t>El campo muestra "Sí"</t>
        </is>
      </c>
      <c r="I76" s="9" t="inlineStr"/>
      <c r="J76" s="14" t="inlineStr">
        <is>
          <t>Pendiente</t>
        </is>
      </c>
      <c r="K76" s="9" t="inlineStr"/>
      <c r="L76" s="9" t="inlineStr"/>
      <c r="M76" s="9" t="inlineStr"/>
    </row>
    <row r="77">
      <c r="A77" s="9" t="inlineStr">
        <is>
          <t>Pantalla de datos del expediente</t>
        </is>
      </c>
      <c r="B77" s="5" t="inlineStr">
        <is>
          <t>CU-10</t>
        </is>
      </c>
      <c r="C77" s="9" t="inlineStr">
        <is>
          <t>Pantalla de datos del expediente</t>
        </is>
      </c>
      <c r="D77" s="5" t="inlineStr">
        <is>
          <t>CU-10-3</t>
        </is>
      </c>
      <c r="E77" s="9" t="inlineStr">
        <is>
          <t>Datos exp.</t>
        </is>
      </c>
      <c r="F77" s="9" t="inlineStr">
        <is>
          <t>El campo se muestra también en expedientes sin oferta Joven (vacío o N/A, sin error)</t>
        </is>
      </c>
      <c r="G77" s="9" t="inlineStr">
        <is>
          <t>Abrir datos de un expediente sin oferta Joven</t>
        </is>
      </c>
      <c r="H77" s="9" t="inlineStr">
        <is>
          <t>El campo aparece; no genera error de pantalla</t>
        </is>
      </c>
      <c r="I77" s="9" t="inlineStr"/>
      <c r="J77" s="14" t="inlineStr">
        <is>
          <t>Pendiente</t>
        </is>
      </c>
      <c r="K77" s="9" t="inlineStr"/>
      <c r="L77" s="9" t="inlineStr"/>
      <c r="M77" s="9" t="inlineStr"/>
    </row>
    <row r="78">
      <c r="A78" s="9" t="inlineStr">
        <is>
          <t>Pantalla datos de Pre-aprobación</t>
        </is>
      </c>
      <c r="B78" s="5" t="inlineStr">
        <is>
          <t>CU-11</t>
        </is>
      </c>
      <c r="C78" s="9" t="inlineStr">
        <is>
          <t>Pantalla datos de Pre-aprobación</t>
        </is>
      </c>
      <c r="D78" s="5" t="inlineStr">
        <is>
          <t>CU-11-1</t>
        </is>
      </c>
      <c r="E78" s="9" t="inlineStr">
        <is>
          <t>Datos pre-apr.</t>
        </is>
      </c>
      <c r="F78" s="9" t="inlineStr">
        <is>
          <t>El campo cuota se calcula con el TIN de la oferta asignada al expediente</t>
        </is>
      </c>
      <c r="G78" s="9" t="inlineStr">
        <is>
          <t>Abrir datos de pre-aprobación del expediente de una hipoteca con Oferta Joven</t>
        </is>
      </c>
      <c r="H78" s="9" t="inlineStr">
        <is>
          <t>La cuota aparece calculada con el TIN de la oferta Joven asignada</t>
        </is>
      </c>
      <c r="I78" s="9" t="inlineStr"/>
      <c r="J78" s="14" t="inlineStr">
        <is>
          <t>Pendiente</t>
        </is>
      </c>
      <c r="K78" s="9" t="inlineStr"/>
      <c r="L78" s="9" t="inlineStr"/>
      <c r="M78" s="9" t="inlineStr"/>
    </row>
    <row r="79">
      <c r="A79" s="9" t="inlineStr">
        <is>
          <t>Pantalla datos de Pre-aprobación</t>
        </is>
      </c>
      <c r="B79" s="5" t="inlineStr">
        <is>
          <t>CU-11</t>
        </is>
      </c>
      <c r="C79" s="9" t="inlineStr">
        <is>
          <t>Pantalla datos de Pre-aprobación</t>
        </is>
      </c>
      <c r="D79" s="5" t="inlineStr">
        <is>
          <t>CU-11-2</t>
        </is>
      </c>
      <c r="E79" s="9" t="inlineStr">
        <is>
          <t>Datos pre-apr.</t>
        </is>
      </c>
      <c r="F79" s="9" t="inlineStr">
        <is>
          <t>El campo cuota se calcula con el TIN de la oferta asignada al expediente aunque esté fuera del rango LTV</t>
        </is>
      </c>
      <c r="G79" s="9" t="inlineStr">
        <is>
          <t>Abrir datos de pre-aprobación del expediente de una hipoteca con Oferta Joven Better Price con LTV=85% (margen de tolerancia del gestor)</t>
        </is>
      </c>
      <c r="H79" s="9" t="inlineStr">
        <is>
          <t>La cuota aparece calculada con el TIN de la oferta Better Price</t>
        </is>
      </c>
      <c r="I79" s="9" t="inlineStr"/>
      <c r="J79" s="14" t="inlineStr">
        <is>
          <t>Pendiente</t>
        </is>
      </c>
      <c r="K79" s="9" t="inlineStr"/>
      <c r="L79" s="9" t="inlineStr"/>
      <c r="M79" s="9" t="inlineStr"/>
    </row>
    <row r="80">
      <c r="A80" s="9" t="inlineStr">
        <is>
          <t>Modificación del préstamo (post-alta)</t>
        </is>
      </c>
      <c r="B80" s="5" t="inlineStr">
        <is>
          <t>CU-12</t>
        </is>
      </c>
      <c r="C80" s="9" t="inlineStr">
        <is>
          <t>Modificación del préstamo (post-alta)</t>
        </is>
      </c>
      <c r="D80" s="5" t="inlineStr">
        <is>
          <t>CU-12-1</t>
        </is>
      </c>
      <c r="E80" s="9" t="inlineStr">
        <is>
          <t>Modificación</t>
        </is>
      </c>
      <c r="F80" s="9" t="inlineStr">
        <is>
          <t>Al modificar el préstamo se reutiliza la misma pantalla del simulador del alta</t>
        </is>
      </c>
      <c r="G80" s="9" t="inlineStr">
        <is>
          <t>Acceder a la pantalla de modificación del préstamo</t>
        </is>
      </c>
      <c r="H80" s="9" t="inlineStr">
        <is>
          <t>La UI es idéntica a la del simulador de alta</t>
        </is>
      </c>
      <c r="I80" s="9" t="inlineStr"/>
      <c r="J80" s="14" t="inlineStr">
        <is>
          <t>Pendiente</t>
        </is>
      </c>
      <c r="K80" s="9" t="inlineStr"/>
      <c r="L80" s="9" t="inlineStr"/>
      <c r="M80" s="9" t="inlineStr"/>
    </row>
    <row r="81">
      <c r="A81" s="9" t="inlineStr">
        <is>
          <t>Modificación del préstamo (post-alta)</t>
        </is>
      </c>
      <c r="B81" s="5" t="inlineStr">
        <is>
          <t>CU-12</t>
        </is>
      </c>
      <c r="C81" s="9" t="inlineStr">
        <is>
          <t>Modificación del préstamo (post-alta)</t>
        </is>
      </c>
      <c r="D81" s="5" t="inlineStr">
        <is>
          <t>CU-12-2</t>
        </is>
      </c>
      <c r="E81" s="9" t="inlineStr">
        <is>
          <t>Modificación</t>
        </is>
      </c>
      <c r="F81" s="9" t="inlineStr">
        <is>
          <t>Las mismas reglas de límites y ajuste automático aplican en la modificación</t>
        </is>
      </c>
      <c r="G81" s="9" t="inlineStr">
        <is>
          <t>Cambiar importe/plazo superando un límite</t>
        </is>
      </c>
      <c r="H81" s="9" t="inlineStr">
        <is>
          <t>El sistema aplica el mismo ajuste automático que en el alta</t>
        </is>
      </c>
      <c r="I81" s="9" t="inlineStr"/>
      <c r="J81" s="14" t="inlineStr">
        <is>
          <t>Pendiente</t>
        </is>
      </c>
      <c r="K81" s="9" t="inlineStr"/>
      <c r="L81" s="9" t="inlineStr"/>
      <c r="M81" s="9" t="inlineStr"/>
    </row>
    <row r="82">
      <c r="A82" s="9" t="inlineStr">
        <is>
          <t>Modificación del préstamo (post-alta)</t>
        </is>
      </c>
      <c r="B82" s="5" t="inlineStr">
        <is>
          <t>CU-12</t>
        </is>
      </c>
      <c r="C82" s="9" t="inlineStr">
        <is>
          <t>Modificación del préstamo (post-alta)</t>
        </is>
      </c>
      <c r="D82" s="5" t="inlineStr">
        <is>
          <t>CU-12-3</t>
        </is>
      </c>
      <c r="E82" s="9" t="inlineStr">
        <is>
          <t>Modificación &gt; LTV</t>
        </is>
      </c>
      <c r="F82" s="9" t="inlineStr">
        <is>
          <t>Un gestor puede superar el límite de LTV de la oferta hasta el límite superior configurado</t>
        </is>
      </c>
      <c r="G82" s="9" t="inlineStr">
        <is>
          <t>Oferta con maxLTV = 80 %; introducir importe con LTV = 83 % (dentro del límite superior de gestor)</t>
        </is>
      </c>
      <c r="H82" s="9" t="inlineStr">
        <is>
          <t>El sistema permite el valor; no lo ajusta ni bloquea</t>
        </is>
      </c>
      <c r="I82" s="9" t="inlineStr"/>
      <c r="J82" s="14" t="inlineStr">
        <is>
          <t>Pendiente</t>
        </is>
      </c>
      <c r="K82" s="9" t="inlineStr"/>
      <c r="L82" s="9" t="inlineStr"/>
      <c r="M82" s="9" t="inlineStr"/>
    </row>
    <row r="83">
      <c r="A83" s="9" t="inlineStr">
        <is>
          <t>Modificación del préstamo (post-alta)</t>
        </is>
      </c>
      <c r="B83" s="5" t="inlineStr">
        <is>
          <t>CU-12</t>
        </is>
      </c>
      <c r="C83" s="9" t="inlineStr">
        <is>
          <t>Modificación del préstamo (post-alta)</t>
        </is>
      </c>
      <c r="D83" s="5" t="inlineStr">
        <is>
          <t>CU-12-4</t>
        </is>
      </c>
      <c r="E83" s="9" t="inlineStr">
        <is>
          <t>Modificación &gt; LTV</t>
        </is>
      </c>
      <c r="F83" s="9" t="inlineStr">
        <is>
          <t>El gestor no puede superar el límite superior de LTV configurado para la excepción</t>
        </is>
      </c>
      <c r="G83" s="9" t="inlineStr">
        <is>
          <t>Intentar LTV = 97 % cuando el límite superior del gestor es 95 %</t>
        </is>
      </c>
      <c r="H83" s="9" t="inlineStr">
        <is>
          <t>El sistema muestra error y bloquea el importe</t>
        </is>
      </c>
      <c r="I83" s="9" t="inlineStr"/>
      <c r="J83" s="14" t="inlineStr">
        <is>
          <t>Pendiente</t>
        </is>
      </c>
      <c r="K83" s="9" t="inlineStr"/>
      <c r="L83" s="9" t="inlineStr"/>
      <c r="M83" s="9" t="inlineStr"/>
    </row>
    <row r="84">
      <c r="A84" s="9" t="inlineStr">
        <is>
          <t>Modificación del préstamo (post-alta)</t>
        </is>
      </c>
      <c r="B84" s="5" t="inlineStr">
        <is>
          <t>CU-12</t>
        </is>
      </c>
      <c r="C84" s="9" t="inlineStr">
        <is>
          <t>Modificación del préstamo (post-alta)</t>
        </is>
      </c>
      <c r="D84" s="5" t="inlineStr">
        <is>
          <t>CU-12-5</t>
        </is>
      </c>
      <c r="E84" s="9" t="inlineStr">
        <is>
          <t>Modificación &gt; LTV</t>
        </is>
      </c>
      <c r="F84" s="9" t="inlineStr">
        <is>
          <t>El exceso de LTV por gestor solo aplica a ofertas con LTV limitado</t>
        </is>
      </c>
      <c r="G84" s="9" t="inlineStr">
        <is>
          <t>Oferta sin restricción adicional de LTV</t>
        </is>
      </c>
      <c r="H84" s="9" t="inlineStr">
        <is>
          <t>No hay diferencia de comportamiento respecto al alta</t>
        </is>
      </c>
      <c r="I84" s="9" t="inlineStr"/>
      <c r="J84" s="14" t="inlineStr">
        <is>
          <t>Pendiente</t>
        </is>
      </c>
      <c r="K84" s="9" t="inlineStr"/>
      <c r="L84" s="9" t="inlineStr"/>
      <c r="M84" s="9" t="inlineStr"/>
    </row>
    <row r="85">
      <c r="A85" s="9" t="inlineStr">
        <is>
          <t>Pantalla de intervinientes</t>
        </is>
      </c>
      <c r="B85" s="5" t="inlineStr">
        <is>
          <t>CU-13</t>
        </is>
      </c>
      <c r="C85" s="9" t="inlineStr">
        <is>
          <t>Pantalla de intervinientes</t>
        </is>
      </c>
      <c r="D85" s="5" t="inlineStr">
        <is>
          <t>CU-13-1</t>
        </is>
      </c>
      <c r="E85" s="9" t="inlineStr">
        <is>
          <t>Intervinientes &gt; BIZUM</t>
        </is>
      </c>
      <c r="F85" s="9" t="inlineStr">
        <is>
          <t>La tabla de intervinientes incluye una columna BIZUM</t>
        </is>
      </c>
      <c r="G85" s="9" t="inlineStr">
        <is>
          <t>Abrir pantalla de intervinientes de cualquier expediente</t>
        </is>
      </c>
      <c r="H85" s="9" t="inlineStr">
        <is>
          <t>Columna "BIZUM" visible en la tabla</t>
        </is>
      </c>
      <c r="I85" s="9" t="inlineStr"/>
      <c r="J85" s="14" t="inlineStr">
        <is>
          <t>Pendiente</t>
        </is>
      </c>
      <c r="K85" s="9" t="inlineStr"/>
      <c r="L85" s="9" t="inlineStr"/>
      <c r="M85" s="9" t="inlineStr"/>
    </row>
    <row r="86">
      <c r="A86" s="9" t="inlineStr">
        <is>
          <t>Pantalla de intervinientes</t>
        </is>
      </c>
      <c r="B86" s="5" t="inlineStr">
        <is>
          <t>CU-13</t>
        </is>
      </c>
      <c r="C86" s="9" t="inlineStr">
        <is>
          <t>Pantalla de intervinientes</t>
        </is>
      </c>
      <c r="D86" s="5" t="inlineStr">
        <is>
          <t>CU-13-2</t>
        </is>
      </c>
      <c r="E86" s="9" t="inlineStr">
        <is>
          <t>Intervinientes &gt; BIZUM</t>
        </is>
      </c>
      <c r="F86" s="9" t="inlineStr">
        <is>
          <t>La columna muestra "S" cuando CTO_BIZUM = S</t>
        </is>
      </c>
      <c r="G86" s="9" t="inlineStr">
        <is>
          <t>Interviniente con CTO_BIZUM = S en fichero de riesgos</t>
        </is>
      </c>
      <c r="H86" s="9" t="inlineStr">
        <is>
          <t>Columna muestra "(S) Vigente"</t>
        </is>
      </c>
      <c r="I86" s="9" t="inlineStr"/>
      <c r="J86" s="14" t="inlineStr">
        <is>
          <t>Pendiente</t>
        </is>
      </c>
      <c r="K86" s="9" t="inlineStr"/>
      <c r="L86" s="9" t="inlineStr"/>
      <c r="M86" s="9" t="inlineStr"/>
    </row>
    <row r="87">
      <c r="A87" s="9" t="inlineStr">
        <is>
          <t>Pantalla de intervinientes</t>
        </is>
      </c>
      <c r="B87" s="5" t="inlineStr">
        <is>
          <t>CU-13</t>
        </is>
      </c>
      <c r="C87" s="9" t="inlineStr">
        <is>
          <t>Pantalla de intervinientes</t>
        </is>
      </c>
      <c r="D87" s="5" t="inlineStr">
        <is>
          <t>CU-13-3</t>
        </is>
      </c>
      <c r="E87" s="9" t="inlineStr">
        <is>
          <t>Intervinientes &gt; BIZUM</t>
        </is>
      </c>
      <c r="F87" s="9" t="inlineStr">
        <is>
          <t>La columna muestra "A" cuando CTO_BIZUM = A</t>
        </is>
      </c>
      <c r="G87" s="9" t="inlineStr">
        <is>
          <t>Interviniente con CTO_BIZUM = A</t>
        </is>
      </c>
      <c r="H87" s="9" t="inlineStr">
        <is>
          <t>Columna muestra "(A) Con movimientos en los últimos 30 días"</t>
        </is>
      </c>
      <c r="I87" s="9" t="inlineStr"/>
      <c r="J87" s="14" t="inlineStr">
        <is>
          <t>Pendiente</t>
        </is>
      </c>
      <c r="K87" s="9" t="inlineStr"/>
      <c r="L87" s="9" t="inlineStr"/>
      <c r="M87" s="9" t="inlineStr"/>
    </row>
    <row r="88">
      <c r="A88" s="9" t="inlineStr">
        <is>
          <t>Pantalla de intervinientes</t>
        </is>
      </c>
      <c r="B88" s="5" t="inlineStr">
        <is>
          <t>CU-13</t>
        </is>
      </c>
      <c r="C88" s="9" t="inlineStr">
        <is>
          <t>Pantalla de intervinientes</t>
        </is>
      </c>
      <c r="D88" s="5" t="inlineStr">
        <is>
          <t>CU-13-4</t>
        </is>
      </c>
      <c r="E88" s="9" t="inlineStr">
        <is>
          <t>Intervinientes &gt; BIZUM</t>
        </is>
      </c>
      <c r="F88" s="9" t="inlineStr">
        <is>
          <t>La columna muestra "N" cuando CTO_BIZUM = N</t>
        </is>
      </c>
      <c r="G88" s="9" t="inlineStr">
        <is>
          <t>Interviniente con CTO_BIZUM = N</t>
        </is>
      </c>
      <c r="H88" s="9" t="inlineStr">
        <is>
          <t>Columna muestra "(N) No contratado"</t>
        </is>
      </c>
      <c r="I88" s="9" t="inlineStr"/>
      <c r="J88" s="14" t="inlineStr">
        <is>
          <t>Pendiente</t>
        </is>
      </c>
      <c r="K88" s="9" t="inlineStr"/>
      <c r="L88" s="9" t="inlineStr"/>
      <c r="M88" s="9" t="inlineStr"/>
    </row>
    <row r="89">
      <c r="A89" s="9" t="inlineStr">
        <is>
          <t>Pantalla de intervinientes</t>
        </is>
      </c>
      <c r="B89" s="5" t="inlineStr">
        <is>
          <t>CU-13</t>
        </is>
      </c>
      <c r="C89" s="9" t="inlineStr">
        <is>
          <t>Pantalla de intervinientes</t>
        </is>
      </c>
      <c r="D89" s="5" t="inlineStr">
        <is>
          <t>CU-13-5</t>
        </is>
      </c>
      <c r="E89" s="9" t="inlineStr">
        <is>
          <t>Intervinientes &gt; BIZUM</t>
        </is>
      </c>
      <c r="F89" s="9" t="inlineStr">
        <is>
          <t>El campo CTO_BIZUM se recibe y almacena correctamente del fichero de riesgos</t>
        </is>
      </c>
      <c r="G89" s="9" t="inlineStr">
        <is>
          <t>Fichero de riesgos con el nuevo campo para el cliente</t>
        </is>
      </c>
      <c r="H89" s="9" t="inlineStr">
        <is>
          <t>El valor de CTO_BIZUM queda almacenado en el registro del interviniente</t>
        </is>
      </c>
      <c r="I89" s="9" t="inlineStr"/>
      <c r="J89" s="14" t="inlineStr">
        <is>
          <t>Pendiente</t>
        </is>
      </c>
      <c r="K89" s="9" t="inlineStr"/>
      <c r="L89" s="9" t="inlineStr"/>
      <c r="M89" s="9" t="inlineStr"/>
    </row>
    <row r="90">
      <c r="A90" s="9" t="inlineStr">
        <is>
          <t>Pantalla de intervinientes</t>
        </is>
      </c>
      <c r="B90" s="5" t="inlineStr">
        <is>
          <t>CU-13</t>
        </is>
      </c>
      <c r="C90" s="9" t="inlineStr">
        <is>
          <t>Pantalla de intervinientes</t>
        </is>
      </c>
      <c r="D90" s="5" t="inlineStr">
        <is>
          <t>CU-13-6</t>
        </is>
      </c>
      <c r="E90" s="9" t="inlineStr">
        <is>
          <t>Intervinientes &gt; Pagas</t>
        </is>
      </c>
      <c r="F90" s="9" t="inlineStr">
        <is>
          <t>El campo Número de pagas se muestra en la ficha de cada interviniente</t>
        </is>
      </c>
      <c r="G90" s="9" t="inlineStr">
        <is>
          <t>Abrir ficha del interviniente</t>
        </is>
      </c>
      <c r="H90" s="9" t="inlineStr">
        <is>
          <t>Campo "Número de pagas" visible</t>
        </is>
      </c>
      <c r="I90" s="9" t="inlineStr"/>
      <c r="J90" s="14" t="inlineStr">
        <is>
          <t>Pendiente</t>
        </is>
      </c>
      <c r="K90" s="9" t="inlineStr"/>
      <c r="L90" s="9" t="inlineStr"/>
      <c r="M90" s="9" t="inlineStr"/>
    </row>
    <row r="91">
      <c r="A91" s="9" t="inlineStr">
        <is>
          <t>Pantalla de intervinientes</t>
        </is>
      </c>
      <c r="B91" s="5" t="inlineStr">
        <is>
          <t>CU-13</t>
        </is>
      </c>
      <c r="C91" s="9" t="inlineStr">
        <is>
          <t>Pantalla de intervinientes</t>
        </is>
      </c>
      <c r="D91" s="5" t="inlineStr">
        <is>
          <t>CU-13-7</t>
        </is>
      </c>
      <c r="E91" s="9" t="inlineStr">
        <is>
          <t>Intervinientes &gt; Pagas</t>
        </is>
      </c>
      <c r="F91" s="9" t="inlineStr">
        <is>
          <t>El campo Número de pagas puede editarse y guardarse</t>
        </is>
      </c>
      <c r="G91" s="9" t="inlineStr">
        <is>
          <t>Editar a 12 pagas; guardar</t>
        </is>
      </c>
      <c r="H91" s="9" t="inlineStr">
        <is>
          <t>El valor se persiste y se recupera al reabrir</t>
        </is>
      </c>
      <c r="I91" s="9" t="inlineStr"/>
      <c r="J91" s="14" t="inlineStr">
        <is>
          <t>Pendiente</t>
        </is>
      </c>
      <c r="K91" s="9" t="inlineStr"/>
      <c r="L91" s="9" t="inlineStr"/>
      <c r="M91" s="9" t="inlineStr"/>
    </row>
    <row r="92">
      <c r="A92" s="9" t="inlineStr">
        <is>
          <t>Revisión de diferencia de ingresos</t>
        </is>
      </c>
      <c r="B92" s="5" t="inlineStr">
        <is>
          <t>CU-14</t>
        </is>
      </c>
      <c r="C92" s="9" t="inlineStr">
        <is>
          <t>Revisión de diferencia de ingresos</t>
        </is>
      </c>
      <c r="D92" s="5" t="inlineStr">
        <is>
          <t>CU-14-1</t>
        </is>
      </c>
      <c r="E92" s="9" t="inlineStr">
        <is>
          <t>Ingresos &gt; Cálculo</t>
        </is>
      </c>
      <c r="F92" s="9" t="inlineStr">
        <is>
          <t>Cuenta ajena, 1 titular, 1 pagador: los meses de junio y diciembre se excluyen del cálculo</t>
        </is>
      </c>
      <c r="G92" s="9" t="inlineStr">
        <is>
          <t>Nóminas: ene–may, jul–nov = 2.300 €; jun = 4.600 € (paga extra); dic = 4.600 €</t>
        </is>
      </c>
      <c r="H92" s="9" t="inlineStr">
        <is>
          <t>INGRESOS_OBS_MENSUALES = 2.300 € (media de los 10 meses válidos)</t>
        </is>
      </c>
      <c r="I92" s="9" t="inlineStr"/>
      <c r="J92" s="14" t="inlineStr">
        <is>
          <t>Pendiente</t>
        </is>
      </c>
      <c r="K92" s="9" t="inlineStr"/>
      <c r="L92" s="9" t="inlineStr"/>
      <c r="M92" s="9" t="inlineStr"/>
    </row>
    <row r="93">
      <c r="A93" s="9" t="inlineStr">
        <is>
          <t>Revisión de diferencia de ingresos</t>
        </is>
      </c>
      <c r="B93" s="5" t="inlineStr">
        <is>
          <t>CU-14</t>
        </is>
      </c>
      <c r="C93" s="9" t="inlineStr">
        <is>
          <t>Revisión de diferencia de ingresos</t>
        </is>
      </c>
      <c r="D93" s="5" t="inlineStr">
        <is>
          <t>CU-14-2</t>
        </is>
      </c>
      <c r="E93" s="9" t="inlineStr">
        <is>
          <t>Ingresos &gt; Cálculo</t>
        </is>
      </c>
      <c r="F93" s="9" t="inlineStr">
        <is>
          <t>Cuenta ajena, 1 titular, 2 pagadores: se agrupan importes por mes antes de calcular la media</t>
        </is>
      </c>
      <c r="G93" s="9" t="inlineStr">
        <is>
          <t>Ene: 2.300 + 800 = 3.100 €; Feb: 2.300 + 700 = 3.000 € (solo 2 meses de datos, sin meses excluidos)</t>
        </is>
      </c>
      <c r="H93" s="9" t="inlineStr">
        <is>
          <t>INGRESOS_OBS_MENSUALES = (3.100 + 3.000) / 2 = 3.050 €</t>
        </is>
      </c>
      <c r="I93" s="9" t="inlineStr"/>
      <c r="J93" s="14" t="inlineStr">
        <is>
          <t>Pendiente</t>
        </is>
      </c>
      <c r="K93" s="9" t="inlineStr"/>
      <c r="L93" s="9" t="inlineStr"/>
      <c r="M93" s="9" t="inlineStr"/>
    </row>
    <row r="94">
      <c r="A94" s="9" t="inlineStr">
        <is>
          <t>Revisión de diferencia de ingresos</t>
        </is>
      </c>
      <c r="B94" s="5" t="inlineStr">
        <is>
          <t>CU-14</t>
        </is>
      </c>
      <c r="C94" s="9" t="inlineStr">
        <is>
          <t>Revisión de diferencia de ingresos</t>
        </is>
      </c>
      <c r="D94" s="5" t="inlineStr">
        <is>
          <t>CU-14-3</t>
        </is>
      </c>
      <c r="E94" s="9" t="inlineStr">
        <is>
          <t>Ingresos &gt; Cálculo</t>
        </is>
      </c>
      <c r="F94" s="9" t="inlineStr">
        <is>
          <t>Cuenta ajena, 2 titulares: INGRESOS_OBS_MENSUALES es la suma de las medias individuales</t>
        </is>
      </c>
      <c r="G94" s="9" t="inlineStr">
        <is>
          <t>Media T1 = 2.300 €, media T2 = 1.500 €</t>
        </is>
      </c>
      <c r="H94" s="9" t="inlineStr">
        <is>
          <t>INGRESOS_OBS_MENSUALES = 3.800 €</t>
        </is>
      </c>
      <c r="I94" s="9" t="inlineStr"/>
      <c r="J94" s="14" t="inlineStr">
        <is>
          <t>Pendiente</t>
        </is>
      </c>
      <c r="K94" s="9" t="inlineStr"/>
      <c r="L94" s="9" t="inlineStr"/>
      <c r="M94" s="9" t="inlineStr"/>
    </row>
    <row r="95">
      <c r="A95" s="9" t="inlineStr">
        <is>
          <t>Revisión de diferencia de ingresos</t>
        </is>
      </c>
      <c r="B95" s="5" t="inlineStr">
        <is>
          <t>CU-14</t>
        </is>
      </c>
      <c r="C95" s="9" t="inlineStr">
        <is>
          <t>Revisión de diferencia de ingresos</t>
        </is>
      </c>
      <c r="D95" s="5" t="inlineStr">
        <is>
          <t>CU-14-4</t>
        </is>
      </c>
      <c r="E95" s="9" t="inlineStr">
        <is>
          <t>Ingresos &gt; Cálculo</t>
        </is>
      </c>
      <c r="F95" s="9" t="inlineStr">
        <is>
          <t>Autónomo / pensionista / rentista: cálculo = BASE_IMPONIBLE / 14 por interviniente</t>
        </is>
      </c>
      <c r="G95" s="9" t="inlineStr">
        <is>
          <t>T1 BASE_IMPONIBLE = 32.200 €/año</t>
        </is>
      </c>
      <c r="H95" s="9" t="inlineStr">
        <is>
          <t>INGRESOS_OBS_MENSUALES = 32.200 / 14 = 2.300 €</t>
        </is>
      </c>
      <c r="I95" s="9" t="inlineStr"/>
      <c r="J95" s="14" t="inlineStr">
        <is>
          <t>Pendiente</t>
        </is>
      </c>
      <c r="K95" s="9" t="inlineStr"/>
      <c r="L95" s="9" t="inlineStr"/>
      <c r="M95" s="9" t="inlineStr"/>
    </row>
    <row r="96">
      <c r="A96" s="9" t="inlineStr">
        <is>
          <t>Revisión de diferencia de ingresos</t>
        </is>
      </c>
      <c r="B96" s="5" t="inlineStr">
        <is>
          <t>CU-14</t>
        </is>
      </c>
      <c r="C96" s="9" t="inlineStr">
        <is>
          <t>Revisión de diferencia de ingresos</t>
        </is>
      </c>
      <c r="D96" s="5" t="inlineStr">
        <is>
          <t>CU-14-5</t>
        </is>
      </c>
      <c r="E96" s="9" t="inlineStr">
        <is>
          <t>Ingresos &gt; Cálculo</t>
        </is>
      </c>
      <c r="F96" s="9" t="inlineStr">
        <is>
          <t>Autónomo, 2 titulares: suma de BASE_IMPONIBLE/14 de cada titular</t>
        </is>
      </c>
      <c r="G96" s="9" t="inlineStr">
        <is>
          <t>T1 = 32.200 €, T2 = 19.600 €</t>
        </is>
      </c>
      <c r="H96" s="9" t="inlineStr">
        <is>
          <t>INGRESOS_OBS_MENSUALES = (32.200 + 19.600) / 14 = 3.700 €</t>
        </is>
      </c>
      <c r="I96" s="9" t="inlineStr"/>
      <c r="J96" s="14" t="inlineStr">
        <is>
          <t>Pendiente</t>
        </is>
      </c>
      <c r="K96" s="9" t="inlineStr"/>
      <c r="L96" s="9" t="inlineStr"/>
      <c r="M96" s="9" t="inlineStr"/>
    </row>
    <row r="97">
      <c r="A97" s="9" t="inlineStr">
        <is>
          <t>Revisión de diferencia de ingresos</t>
        </is>
      </c>
      <c r="B97" s="5" t="inlineStr">
        <is>
          <t>CU-14</t>
        </is>
      </c>
      <c r="C97" s="9" t="inlineStr">
        <is>
          <t>Revisión de diferencia de ingresos</t>
        </is>
      </c>
      <c r="D97" s="5" t="inlineStr">
        <is>
          <t>CU-14-6</t>
        </is>
      </c>
      <c r="E97" s="9" t="inlineStr">
        <is>
          <t>Ingresos &gt; Tarea BPM</t>
        </is>
      </c>
      <c r="F97" s="9" t="inlineStr">
        <is>
          <t>La tarea BPM se crea tras la validación conjunta cuando INGRESOS_OBS &lt; PARAM:MINIMO_INGRESOS (con margen configurable)</t>
        </is>
      </c>
      <c r="G97" s="9" t="inlineStr">
        <is>
          <t>INGRESOS_OBS_MENSUALES = 1.800 €, MINIMO_INGRESOS = 2.300 €</t>
        </is>
      </c>
      <c r="H97" s="9" t="inlineStr">
        <is>
          <t>Se crea tarea en BPM y se envía mail al gestor del expediente</t>
        </is>
      </c>
      <c r="I97" s="9" t="inlineStr"/>
      <c r="J97" s="14" t="inlineStr">
        <is>
          <t>Pendiente</t>
        </is>
      </c>
      <c r="K97" s="9" t="inlineStr"/>
      <c r="L97" s="9" t="inlineStr"/>
      <c r="M97" s="9" t="inlineStr"/>
    </row>
    <row r="98">
      <c r="A98" s="9" t="inlineStr">
        <is>
          <t>Revisión de diferencia de ingresos</t>
        </is>
      </c>
      <c r="B98" s="5" t="inlineStr">
        <is>
          <t>CU-14</t>
        </is>
      </c>
      <c r="C98" s="9" t="inlineStr">
        <is>
          <t>Revisión de diferencia de ingresos</t>
        </is>
      </c>
      <c r="D98" s="5" t="inlineStr">
        <is>
          <t>CU-14-7</t>
        </is>
      </c>
      <c r="E98" s="9" t="inlineStr">
        <is>
          <t>Ingresos &gt; Tarea BPM</t>
        </is>
      </c>
      <c r="F98" s="9" t="inlineStr">
        <is>
          <t>La tarea BPM no se crea cuando INGRESOS_OBS ≥ PARAM:MINIMO_INGRESOS (con margen)</t>
        </is>
      </c>
      <c r="G98" s="9" t="inlineStr">
        <is>
          <t>INGRESOS_OBS_MENSUALES = 2.500 €, MINIMO_INGRESOS = 2.300 €</t>
        </is>
      </c>
      <c r="H98" s="9" t="inlineStr">
        <is>
          <t>No se crea tarea BPM</t>
        </is>
      </c>
      <c r="I98" s="9" t="inlineStr"/>
      <c r="J98" s="14" t="inlineStr">
        <is>
          <t>Pendiente</t>
        </is>
      </c>
      <c r="K98" s="9" t="inlineStr"/>
      <c r="L98" s="9" t="inlineStr"/>
      <c r="M98" s="9" t="inlineStr"/>
    </row>
    <row r="99">
      <c r="A99" s="9" t="inlineStr">
        <is>
          <t>Revisión de diferencia de ingresos</t>
        </is>
      </c>
      <c r="B99" s="5" t="inlineStr">
        <is>
          <t>CU-14</t>
        </is>
      </c>
      <c r="C99" s="9" t="inlineStr">
        <is>
          <t>Revisión de diferencia de ingresos</t>
        </is>
      </c>
      <c r="D99" s="5" t="inlineStr">
        <is>
          <t>CU-14-8</t>
        </is>
      </c>
      <c r="E99" s="9" t="inlineStr">
        <is>
          <t>Ingresos &gt; Tarea BPM</t>
        </is>
      </c>
      <c r="F99" s="9" t="inlineStr">
        <is>
          <t>La tarea muestra correctamente: ingresos observados por titular, total, mínimos necesarios para 1T y 2T, y nuevo precio</t>
        </is>
      </c>
      <c r="G99" s="9" t="inlineStr">
        <is>
          <t>Abrir la tarea creada en ING-06</t>
        </is>
      </c>
      <c r="H99" s="9" t="inlineStr">
        <is>
          <t>La tarea presenta todos los datos especificados sin errores</t>
        </is>
      </c>
      <c r="I99" s="9" t="inlineStr"/>
      <c r="J99" s="14" t="inlineStr">
        <is>
          <t>Pendiente</t>
        </is>
      </c>
      <c r="K99" s="9" t="inlineStr"/>
      <c r="L99" s="9" t="inlineStr"/>
      <c r="M99" s="9" t="inlineStr"/>
    </row>
    <row r="100">
      <c r="A100" s="9" t="inlineStr">
        <is>
          <t>Revisión de diferencia de ingresos</t>
        </is>
      </c>
      <c r="B100" s="5" t="inlineStr">
        <is>
          <t>CU-14</t>
        </is>
      </c>
      <c r="C100" s="9" t="inlineStr">
        <is>
          <t>Revisión de diferencia de ingresos</t>
        </is>
      </c>
      <c r="D100" s="5" t="inlineStr">
        <is>
          <t>CU-14-9</t>
        </is>
      </c>
      <c r="E100" s="9" t="inlineStr">
        <is>
          <t>Ingresos &gt; Tarea BPM</t>
        </is>
      </c>
      <c r="F100" s="9" t="inlineStr">
        <is>
          <t>La decisión "Avanzar" aplica la oferta correspondiente y avanza el flujo con llamada a Modellica</t>
        </is>
      </c>
      <c r="G100" s="9" t="inlineStr">
        <is>
          <t>Ejecutar "Avanzar" en la tarea</t>
        </is>
      </c>
      <c r="H100" s="9" t="inlineStr">
        <is>
          <t>El expediente avanza; la llamada a Modellica queda registrada en trazas</t>
        </is>
      </c>
      <c r="I100" s="9" t="inlineStr"/>
      <c r="J100" s="14" t="inlineStr">
        <is>
          <t>Pendiente</t>
        </is>
      </c>
      <c r="K100" s="9" t="inlineStr"/>
      <c r="L100" s="9" t="inlineStr"/>
      <c r="M100" s="9" t="inlineStr"/>
    </row>
    <row r="101">
      <c r="A101" s="9" t="inlineStr">
        <is>
          <t>Revisión de diferencia de ingresos</t>
        </is>
      </c>
      <c r="B101" s="5" t="inlineStr">
        <is>
          <t>CU-14</t>
        </is>
      </c>
      <c r="C101" s="9" t="inlineStr">
        <is>
          <t>Revisión de diferencia de ingresos</t>
        </is>
      </c>
      <c r="D101" s="5" t="inlineStr">
        <is>
          <t>CU-14-10</t>
        </is>
      </c>
      <c r="E101" s="9" t="inlineStr">
        <is>
          <t>Ingresos &gt; Tarea BPM</t>
        </is>
      </c>
      <c r="F101" s="9" t="inlineStr">
        <is>
          <t>La tarea no se crea si el expediente ya pasó por PROC@FIRMA</t>
        </is>
      </c>
      <c r="G101" s="9" t="inlineStr">
        <is>
          <t>Expediente con PROC@FIRMA ejecutada; INGRESOS_OBS &lt; MINIMO</t>
        </is>
      </c>
      <c r="H101" s="9" t="inlineStr">
        <is>
          <t>No se genera tarea BPM</t>
        </is>
      </c>
      <c r="I101" s="9" t="inlineStr"/>
      <c r="J101" s="14" t="inlineStr">
        <is>
          <t>Pendiente</t>
        </is>
      </c>
      <c r="K101" s="9" t="inlineStr"/>
      <c r="L101" s="9" t="inlineStr"/>
      <c r="M101" s="9" t="inlineStr"/>
    </row>
    <row r="102">
      <c r="A102" s="9" t="inlineStr">
        <is>
          <t>Revisión de diferencia de ingresos</t>
        </is>
      </c>
      <c r="B102" s="5" t="inlineStr">
        <is>
          <t>CU-14</t>
        </is>
      </c>
      <c r="C102" s="9" t="inlineStr">
        <is>
          <t>Revisión de diferencia de ingresos</t>
        </is>
      </c>
      <c r="D102" s="5" t="inlineStr">
        <is>
          <t>CU-14-11</t>
        </is>
      </c>
      <c r="E102" s="9" t="inlineStr">
        <is>
          <t>Ingresos &gt; Aviso</t>
        </is>
      </c>
      <c r="F102" s="9" t="inlineStr">
        <is>
          <t>Se crea un aviso para el gestor con los valores declarado y observado</t>
        </is>
      </c>
      <c r="G102" s="9" t="inlineStr">
        <is>
          <t>Condiciones de ING-06</t>
        </is>
      </c>
      <c r="H102" s="9" t="inlineStr">
        <is>
          <t>Aviso generado con título "PDTE DEFINIR"; cuerpo contiene ingresos declarados e INGRESOS_OBS_MENSUALES</t>
        </is>
      </c>
      <c r="I102" s="9" t="inlineStr"/>
      <c r="J102" s="14" t="inlineStr">
        <is>
          <t>Pendiente</t>
        </is>
      </c>
      <c r="K102" s="9" t="inlineStr"/>
      <c r="L102" s="9" t="inlineStr"/>
      <c r="M102" s="9" t="inlineStr"/>
    </row>
    <row r="103">
      <c r="A103" s="9" t="inlineStr">
        <is>
          <t>Revisión de diferencia de ingresos</t>
        </is>
      </c>
      <c r="B103" s="5" t="inlineStr">
        <is>
          <t>CU-14</t>
        </is>
      </c>
      <c r="C103" s="9" t="inlineStr">
        <is>
          <t>Revisión de diferencia de ingresos</t>
        </is>
      </c>
      <c r="D103" s="5" t="inlineStr">
        <is>
          <t>CU-14-12</t>
        </is>
      </c>
      <c r="E103" s="9" t="inlineStr">
        <is>
          <t>Ingresos &gt; Pantalla interv.</t>
        </is>
      </c>
      <c r="F103" s="9" t="inlineStr">
        <is>
          <t>En la ficha del interviniente se muestra "media de ingresos observados de los últimos X meses"</t>
        </is>
      </c>
      <c r="G103" s="9" t="inlineStr">
        <is>
          <t>Abrir ficha del interviniente tras el cálculo</t>
        </is>
      </c>
      <c r="H103" s="9" t="inlineStr">
        <is>
          <t>El campo aparece a la derecha de los ingresos declarados con el valor correcto</t>
        </is>
      </c>
      <c r="I103" s="9" t="inlineStr"/>
      <c r="J103" s="14" t="inlineStr">
        <is>
          <t>Pendiente</t>
        </is>
      </c>
      <c r="K103" s="9" t="inlineStr"/>
      <c r="L103" s="9" t="inlineStr"/>
      <c r="M103" s="9" t="inlineStr"/>
    </row>
    <row r="104">
      <c r="A104" s="9" t="inlineStr">
        <is>
          <t>Llamadas a Modellica</t>
        </is>
      </c>
      <c r="B104" s="5" t="inlineStr">
        <is>
          <t>CU-15</t>
        </is>
      </c>
      <c r="C104" s="9" t="inlineStr">
        <is>
          <t>Llamadas a Modellica</t>
        </is>
      </c>
      <c r="D104" s="5" t="inlineStr">
        <is>
          <t>CU-15-1</t>
        </is>
      </c>
      <c r="E104" s="9" t="inlineStr">
        <is>
          <t>Modellica</t>
        </is>
      </c>
      <c r="F104" s="9" t="inlineStr">
        <is>
          <t>PRIMERA_VIVIENDA_HABITUAL_FL se incluye en la llamada</t>
        </is>
      </c>
      <c r="G104" s="9" t="inlineStr">
        <is>
          <t>Expediente con primeraViviendaHabitual = Sí</t>
        </is>
      </c>
      <c r="H104" s="9" t="inlineStr">
        <is>
          <t>El fichero de llamada contiene PRIMERA_VIVIENDA_HABITUAL_FL = 1</t>
        </is>
      </c>
      <c r="I104" s="9" t="inlineStr"/>
      <c r="J104" s="14" t="inlineStr">
        <is>
          <t>Pendiente</t>
        </is>
      </c>
      <c r="K104" s="9" t="inlineStr"/>
      <c r="L104" s="9" t="inlineStr"/>
      <c r="M104" s="9" t="inlineStr"/>
    </row>
    <row r="105">
      <c r="A105" s="9" t="inlineStr">
        <is>
          <t>Llamadas a Modellica</t>
        </is>
      </c>
      <c r="B105" s="5" t="inlineStr">
        <is>
          <t>CU-15</t>
        </is>
      </c>
      <c r="C105" s="9" t="inlineStr">
        <is>
          <t>Llamadas a Modellica</t>
        </is>
      </c>
      <c r="D105" s="5" t="inlineStr">
        <is>
          <t>CU-15-2</t>
        </is>
      </c>
      <c r="E105" s="9" t="inlineStr">
        <is>
          <t>Modellica</t>
        </is>
      </c>
      <c r="F105" s="9" t="inlineStr">
        <is>
          <t>IngNetAnDec = ingresos mensuales × num pagas</t>
        </is>
      </c>
      <c r="G105" s="9" t="inlineStr">
        <is>
          <t>T1: 2.000 €/mes × 14 pagas</t>
        </is>
      </c>
      <c r="H105" s="9" t="inlineStr">
        <is>
          <t>IngNetAnDec = 28.000 en la llamada</t>
        </is>
      </c>
      <c r="I105" s="9" t="inlineStr"/>
      <c r="J105" s="14" t="inlineStr">
        <is>
          <t>Pendiente</t>
        </is>
      </c>
      <c r="K105" s="9" t="inlineStr"/>
      <c r="L105" s="9" t="inlineStr"/>
      <c r="M105" s="9" t="inlineStr"/>
    </row>
    <row r="106">
      <c r="A106" s="9" t="inlineStr">
        <is>
          <t>Llamadas a Modellica</t>
        </is>
      </c>
      <c r="B106" s="5" t="inlineStr">
        <is>
          <t>CU-15</t>
        </is>
      </c>
      <c r="C106" s="9" t="inlineStr">
        <is>
          <t>Llamadas a Modellica</t>
        </is>
      </c>
      <c r="D106" s="5" t="inlineStr">
        <is>
          <t>CU-15-3</t>
        </is>
      </c>
      <c r="E106" s="9" t="inlineStr">
        <is>
          <t>Modellica</t>
        </is>
      </c>
      <c r="F106" s="9" t="inlineStr">
        <is>
          <t>IngNetAnActLabDec = ingresos mensuales × num pagas (mismo cálculo)</t>
        </is>
      </c>
      <c r="G106" s="9" t="inlineStr">
        <is>
          <t>T1: 2.000 €/mes × 14 pagas</t>
        </is>
      </c>
      <c r="H106" s="9" t="inlineStr">
        <is>
          <t>IngNetAnActLabDec = 28.000 en la llamada</t>
        </is>
      </c>
      <c r="I106" s="9" t="inlineStr"/>
      <c r="J106" s="14" t="inlineStr">
        <is>
          <t>Pendiente</t>
        </is>
      </c>
      <c r="K106" s="9" t="inlineStr"/>
      <c r="L106" s="9" t="inlineStr"/>
      <c r="M106" s="9" t="inlineStr"/>
    </row>
    <row r="107">
      <c r="A107" s="9" t="inlineStr">
        <is>
          <t>Llamadas a Modellica</t>
        </is>
      </c>
      <c r="B107" s="5" t="inlineStr">
        <is>
          <t>CU-15</t>
        </is>
      </c>
      <c r="C107" s="9" t="inlineStr">
        <is>
          <t>Llamadas a Modellica</t>
        </is>
      </c>
      <c r="D107" s="5" t="inlineStr">
        <is>
          <t>CU-15-4</t>
        </is>
      </c>
      <c r="E107" s="9" t="inlineStr">
        <is>
          <t>Modellica</t>
        </is>
      </c>
      <c r="F107" s="9" t="inlineStr">
        <is>
          <t>NumPagas se envía correctamente cuando está informado</t>
        </is>
      </c>
      <c r="G107" s="9" t="inlineStr">
        <is>
          <t>T1 numPagas = 12</t>
        </is>
      </c>
      <c r="H107" s="9" t="inlineStr">
        <is>
          <t>NumPagas = 12 en la llamada</t>
        </is>
      </c>
      <c r="I107" s="9" t="inlineStr"/>
      <c r="J107" s="14" t="inlineStr">
        <is>
          <t>Pendiente</t>
        </is>
      </c>
      <c r="K107" s="9" t="inlineStr"/>
      <c r="L107" s="9" t="inlineStr"/>
      <c r="M107" s="9" t="inlineStr"/>
    </row>
    <row r="108">
      <c r="A108" s="9" t="inlineStr">
        <is>
          <t>Llamadas a Modellica</t>
        </is>
      </c>
      <c r="B108" s="5" t="inlineStr">
        <is>
          <t>CU-15</t>
        </is>
      </c>
      <c r="C108" s="9" t="inlineStr">
        <is>
          <t>Llamadas a Modellica</t>
        </is>
      </c>
      <c r="D108" s="5" t="inlineStr">
        <is>
          <t>CU-15-5</t>
        </is>
      </c>
      <c r="E108" s="9" t="inlineStr">
        <is>
          <t>Modellica</t>
        </is>
      </c>
      <c r="F108" s="9" t="inlineStr">
        <is>
          <t>Cuando NumPagas no está informado (expediente sin oferta Joven), se usa el valor 14</t>
        </is>
      </c>
      <c r="G108" s="9" t="inlineStr">
        <is>
          <t>Expediente sin oferta Joven, campo num. pagas no capturado</t>
        </is>
      </c>
      <c r="H108" s="9" t="inlineStr">
        <is>
          <t>NumPagas = 14 en la llamada</t>
        </is>
      </c>
      <c r="I108" s="9" t="inlineStr"/>
      <c r="J108" s="14" t="inlineStr">
        <is>
          <t>Pendiente</t>
        </is>
      </c>
      <c r="K108" s="9" t="inlineStr"/>
      <c r="L108" s="9" t="inlineStr"/>
      <c r="M108" s="9" t="inlineStr"/>
    </row>
    <row r="109">
      <c r="A109" s="9" t="inlineStr">
        <is>
          <t>Llamadas a Modellica</t>
        </is>
      </c>
      <c r="B109" s="5" t="inlineStr">
        <is>
          <t>CU-15</t>
        </is>
      </c>
      <c r="C109" s="9" t="inlineStr">
        <is>
          <t>Llamadas a Modellica</t>
        </is>
      </c>
      <c r="D109" s="5" t="inlineStr">
        <is>
          <t>CU-15-6</t>
        </is>
      </c>
      <c r="E109" s="9" t="inlineStr">
        <is>
          <t>Modellica</t>
        </is>
      </c>
      <c r="F109" s="9" t="inlineStr">
        <is>
          <t>vidaLaboralObs = total_anyo_trabajado_nm × 12 + total_meses_trabajado_nm</t>
        </is>
      </c>
      <c r="G109" s="9" t="inlineStr">
        <is>
          <t>T1: 10 años + 6 meses trabajados</t>
        </is>
      </c>
      <c r="H109" s="9" t="inlineStr">
        <is>
          <t>vidaLaboralObs = 126 en el fichero RiesgosModellicaLlamadas</t>
        </is>
      </c>
      <c r="I109" s="9" t="inlineStr"/>
      <c r="J109" s="14" t="inlineStr">
        <is>
          <t>Pendiente</t>
        </is>
      </c>
      <c r="K109" s="9" t="inlineStr"/>
      <c r="L109" s="9" t="inlineStr"/>
      <c r="M109" s="9" t="inlineStr"/>
    </row>
    <row r="110">
      <c r="A110" s="9" t="inlineStr">
        <is>
          <t>Llamadas a Modellica</t>
        </is>
      </c>
      <c r="B110" s="5" t="inlineStr">
        <is>
          <t>CU-15</t>
        </is>
      </c>
      <c r="C110" s="9" t="inlineStr">
        <is>
          <t>Llamadas a Modellica</t>
        </is>
      </c>
      <c r="D110" s="5" t="inlineStr">
        <is>
          <t>CU-15-7</t>
        </is>
      </c>
      <c r="E110" s="9" t="inlineStr">
        <is>
          <t>Modellica</t>
        </is>
      </c>
      <c r="F110" s="9" t="inlineStr">
        <is>
          <t>Los campos preexistentes de la llamada no se ven alterados</t>
        </is>
      </c>
      <c r="G110" s="9" t="inlineStr">
        <is>
          <t>Llamada a Modellica estándar</t>
        </is>
      </c>
      <c r="H110" s="9" t="inlineStr">
        <is>
          <t>El resto de campos mantiene sus valores; no aparecen duplicados ni modificados</t>
        </is>
      </c>
      <c r="I110" s="9" t="inlineStr"/>
      <c r="J110" s="14" t="inlineStr">
        <is>
          <t>Pendiente</t>
        </is>
      </c>
      <c r="K110" s="9" t="inlineStr"/>
      <c r="L110" s="9" t="inlineStr"/>
      <c r="M110" s="9" t="inlineStr"/>
    </row>
    <row r="111">
      <c r="A111" s="9" t="inlineStr">
        <is>
          <t>Alta/Actualización expedientes en Gestoría</t>
        </is>
      </c>
      <c r="B111" s="5" t="inlineStr">
        <is>
          <t>CU-16</t>
        </is>
      </c>
      <c r="C111" s="9" t="inlineStr">
        <is>
          <t>Alta/Actualización expedientes en Gestoría</t>
        </is>
      </c>
      <c r="D111" s="5" t="inlineStr">
        <is>
          <t>CU-16-1</t>
        </is>
      </c>
      <c r="E111" s="9" t="inlineStr">
        <is>
          <t>Integración gestoría</t>
        </is>
      </c>
      <c r="F111" s="9" t="inlineStr">
        <is>
          <t>El campo TIN y DIFERENCIAL se entrega con los valores de TIN/DIFERENCIAL de la oferta aplicada al expediente - el descuento del precio personalizado. LTV en rango</t>
        </is>
      </c>
      <c r="G111" s="9" t="inlineStr">
        <is>
          <t>Expediente Mixta con oferta Joven Better Price, 25 años 100.000EUR, AñosFijo=5, Plazo=25, LTV&lt;=80</t>
        </is>
      </c>
      <c r="H111" s="9" t="inlineStr">
        <is>
          <t>Se envía con el TIN 2,3 y DIFERENCIAL 0,6</t>
        </is>
      </c>
      <c r="I111" s="9" t="inlineStr"/>
      <c r="J111" s="14" t="inlineStr">
        <is>
          <t>Pendiente</t>
        </is>
      </c>
      <c r="K111" s="9" t="inlineStr"/>
      <c r="L111" s="9" t="inlineStr"/>
      <c r="M111" s="9" t="inlineStr"/>
    </row>
    <row r="112">
      <c r="A112" s="9" t="inlineStr">
        <is>
          <t>Alta/Actualización expedientes en Gestoría</t>
        </is>
      </c>
      <c r="B112" s="5" t="inlineStr">
        <is>
          <t>CU-16</t>
        </is>
      </c>
      <c r="C112" s="9" t="inlineStr">
        <is>
          <t>Alta/Actualización expedientes en Gestoría</t>
        </is>
      </c>
      <c r="D112" s="5" t="inlineStr">
        <is>
          <t>CU-16-2</t>
        </is>
      </c>
      <c r="E112" s="9" t="inlineStr">
        <is>
          <t>Integración gestoría</t>
        </is>
      </c>
      <c r="F112" s="9" t="inlineStr">
        <is>
          <t>El campo TIN y DIFERENCIAL se entrega con los valores de TIN/DIFERENCIAL de la oferta aplicada al expediente - el descuento del precio personalizado. LTV fuera de  rango</t>
        </is>
      </c>
      <c r="G112" s="9" t="inlineStr">
        <is>
          <t>Expediente Mixta con oferta Joven Better Price, 25 años 100.000EUR, AñosFijo=5, Plazo=25, LTV&gt;80, Dto TIN 0.1, Dto DIFF 0.2</t>
        </is>
      </c>
      <c r="H112" s="9" t="inlineStr">
        <is>
          <t>Se envía con el TIN 2,2 y DIFERENCIAL 0,5</t>
        </is>
      </c>
      <c r="I112" s="9" t="inlineStr"/>
      <c r="J112" s="14" t="inlineStr">
        <is>
          <t>Pendiente</t>
        </is>
      </c>
      <c r="K112" s="9" t="inlineStr"/>
      <c r="L112" s="9" t="inlineStr"/>
      <c r="M112" s="9" t="inlineStr"/>
    </row>
    <row r="113">
      <c r="A113" s="9" t="inlineStr">
        <is>
          <t>Servicios WF (Expone WF)</t>
        </is>
      </c>
      <c r="B113" s="5" t="inlineStr">
        <is>
          <t>CU-17</t>
        </is>
      </c>
      <c r="C113" s="9" t="inlineStr">
        <is>
          <t>Servicios WF (Expone WF)</t>
        </is>
      </c>
      <c r="D113" s="5" t="inlineStr">
        <is>
          <t>CU-17-1</t>
        </is>
      </c>
      <c r="E113" s="9" t="inlineStr">
        <is>
          <t>WF &gt; AltaHipoteca</t>
        </is>
      </c>
      <c r="F113" s="9" t="inlineStr">
        <is>
          <t>El servicio AltaHipoteca acepta el nuevo campo primeraViviendaHabitualFl</t>
        </is>
      </c>
      <c r="G113" s="9" t="inlineStr">
        <is>
          <t>Llamar con primeraViviendaHabitualFl = 1</t>
        </is>
      </c>
      <c r="H113" s="9" t="inlineStr">
        <is>
          <t>El campo se procesa sin error y se persiste en el expediente. El expediente devuelve el código de oferta asignado</t>
        </is>
      </c>
      <c r="I113" s="9" t="inlineStr"/>
      <c r="J113" s="14" t="inlineStr">
        <is>
          <t>Pendiente</t>
        </is>
      </c>
      <c r="K113" s="9" t="inlineStr"/>
      <c r="L113" s="9" t="inlineStr"/>
      <c r="M113" s="9" t="inlineStr"/>
    </row>
    <row r="114">
      <c r="A114" s="9" t="inlineStr">
        <is>
          <t>Servicios WF (Expone WF)</t>
        </is>
      </c>
      <c r="B114" s="5" t="inlineStr">
        <is>
          <t>CU-17</t>
        </is>
      </c>
      <c r="C114" s="9" t="inlineStr">
        <is>
          <t>Servicios WF (Expone WF)</t>
        </is>
      </c>
      <c r="D114" s="5" t="inlineStr">
        <is>
          <t>CU-17-2</t>
        </is>
      </c>
      <c r="E114" s="9" t="inlineStr">
        <is>
          <t>WF &gt; GetDatosEntradaPrestamo</t>
        </is>
      </c>
      <c r="F114" s="9" t="inlineStr">
        <is>
          <t>El servicio devuelve primeraViviendaHabitualFl en la respuesta</t>
        </is>
      </c>
      <c r="G114" s="9" t="inlineStr">
        <is>
          <t>Expediente con primeraViviendaHabitual informado</t>
        </is>
      </c>
      <c r="H114" s="9" t="inlineStr">
        <is>
          <t>La respuesta contiene el campo con el valor correcto</t>
        </is>
      </c>
      <c r="I114" s="9" t="inlineStr"/>
      <c r="J114" s="14" t="inlineStr">
        <is>
          <t>Pendiente</t>
        </is>
      </c>
      <c r="K114" s="9" t="inlineStr"/>
      <c r="L114" s="9" t="inlineStr"/>
      <c r="M114" s="9" t="inlineStr"/>
    </row>
    <row r="115">
      <c r="A115" s="9" t="inlineStr">
        <is>
          <t>Servicios WF (Expone WF)</t>
        </is>
      </c>
      <c r="B115" s="5" t="inlineStr">
        <is>
          <t>CU-17</t>
        </is>
      </c>
      <c r="C115" s="9" t="inlineStr">
        <is>
          <t>Servicios WF (Expone WF)</t>
        </is>
      </c>
      <c r="D115" s="5" t="inlineStr">
        <is>
          <t>CU-17-3</t>
        </is>
      </c>
      <c r="E115" s="9" t="inlineStr">
        <is>
          <t>WF &gt; GetDatosAdicionalesPreAprob</t>
        </is>
      </c>
      <c r="F115" s="9" t="inlineStr">
        <is>
          <t>El servicio devuelve primeraViviendaHabitualFl en la respuesta</t>
        </is>
      </c>
      <c r="G115" s="9" t="inlineStr">
        <is>
          <t>Expediente con primeraViviendaHabitual informado</t>
        </is>
      </c>
      <c r="H115" s="9" t="inlineStr">
        <is>
          <t>La respuesta contiene el campo con el valor correcto</t>
        </is>
      </c>
      <c r="I115" s="9" t="inlineStr"/>
      <c r="J115" s="14" t="inlineStr">
        <is>
          <t>Pendiente</t>
        </is>
      </c>
      <c r="K115" s="9" t="inlineStr"/>
      <c r="L115" s="9" t="inlineStr"/>
      <c r="M115" s="9" t="inlineStr"/>
    </row>
    <row r="116">
      <c r="A116" s="9" t="inlineStr">
        <is>
          <t>Servicios WF (Expone WF)</t>
        </is>
      </c>
      <c r="B116" s="5" t="inlineStr">
        <is>
          <t>CU-17</t>
        </is>
      </c>
      <c r="C116" s="9" t="inlineStr">
        <is>
          <t>Servicios WF (Expone WF)</t>
        </is>
      </c>
      <c r="D116" s="5" t="inlineStr">
        <is>
          <t>CU-17-4</t>
        </is>
      </c>
      <c r="E116" s="9" t="inlineStr">
        <is>
          <t>WF &gt; GuardarDatosAdicionalesPreAprob</t>
        </is>
      </c>
      <c r="F116" s="9" t="inlineStr">
        <is>
          <t>El servicio acepta y persiste primeraViviendaHabitualFl</t>
        </is>
      </c>
      <c r="G116" s="9" t="inlineStr">
        <is>
          <t>Llamar con primeraViviendaHabitualFl = 0</t>
        </is>
      </c>
      <c r="H116" s="9" t="inlineStr">
        <is>
          <t>El valor se guarda; una llamada posterior al Get devuelve el valor guardado</t>
        </is>
      </c>
      <c r="I116" s="9" t="inlineStr"/>
      <c r="J116" s="14" t="inlineStr">
        <is>
          <t>Pendiente</t>
        </is>
      </c>
      <c r="K116" s="9" t="inlineStr"/>
      <c r="L116" s="9" t="inlineStr"/>
      <c r="M116" s="9" t="inlineStr"/>
    </row>
    <row r="117">
      <c r="A117" s="9" t="inlineStr">
        <is>
          <t>Servicios WF (Expone WF)</t>
        </is>
      </c>
      <c r="B117" s="5" t="inlineStr">
        <is>
          <t>CU-17</t>
        </is>
      </c>
      <c r="C117" s="9" t="inlineStr">
        <is>
          <t>Servicios WF (Expone WF)</t>
        </is>
      </c>
      <c r="D117" s="5" t="inlineStr">
        <is>
          <t>CU-17-5</t>
        </is>
      </c>
      <c r="E117" s="9" t="inlineStr">
        <is>
          <t>WF &gt; GetOfertasHipotecas</t>
        </is>
      </c>
      <c r="F117" s="9" t="inlineStr">
        <is>
          <t>El nuevo servicio GetOfertasHipotecas devuelve las ofertas elegibles y sus límites</t>
        </is>
      </c>
      <c r="G117" s="9" t="inlineStr">
        <is>
          <t>Llamar con datos de un expediente elegible para JOVEN_COMBINADA</t>
        </is>
      </c>
      <c r="H117" s="9" t="inlineStr">
        <is>
          <t>La respuesta incluye la lista de ofertas con los límites financieros (minHipoteca, maxHipoteca, minPlazo, maxPlazo, minLtvExclusive, maxLtv, edadPlazo)</t>
        </is>
      </c>
      <c r="I117" s="9" t="inlineStr"/>
      <c r="J117" s="14" t="inlineStr">
        <is>
          <t>Pendiente</t>
        </is>
      </c>
      <c r="K117" s="9" t="inlineStr"/>
      <c r="L117" s="9" t="inlineStr"/>
      <c r="M117" s="9" t="inlineStr"/>
    </row>
    <row r="118">
      <c r="A118" s="9" t="inlineStr">
        <is>
          <t>Servicios WF (Expone WF)</t>
        </is>
      </c>
      <c r="B118" s="5" t="inlineStr">
        <is>
          <t>CU-17</t>
        </is>
      </c>
      <c r="C118" s="9" t="inlineStr">
        <is>
          <t>Servicios WF (Expone WF)</t>
        </is>
      </c>
      <c r="D118" s="5" t="inlineStr">
        <is>
          <t>CU-17-6</t>
        </is>
      </c>
      <c r="E118" s="9" t="inlineStr">
        <is>
          <t>WF &gt; GetOfertasHipotecas</t>
        </is>
      </c>
      <c r="F118" s="9" t="inlineStr">
        <is>
          <t>GetOfertasHipotecas devuelve lista vacía cuando no hay ofertas elegibles</t>
        </is>
      </c>
      <c r="G118" s="9" t="inlineStr">
        <is>
          <t>Llamar con datos sin ninguna oferta elegible</t>
        </is>
      </c>
      <c r="H118" s="9" t="inlineStr">
        <is>
          <t>La respuesta contiene lista vacía; sin error de sistema</t>
        </is>
      </c>
      <c r="I118" s="9" t="inlineStr"/>
      <c r="J118" s="14" t="inlineStr">
        <is>
          <t>Pendiente</t>
        </is>
      </c>
      <c r="K118" s="9" t="inlineStr"/>
      <c r="L118" s="9" t="inlineStr"/>
      <c r="M118" s="9" t="inlineStr"/>
    </row>
    <row r="119">
      <c r="A119" s="9" t="inlineStr">
        <is>
          <t>Servicios WF (Expone WF)</t>
        </is>
      </c>
      <c r="B119" s="5" t="inlineStr">
        <is>
          <t>CU-17</t>
        </is>
      </c>
      <c r="C119" s="9" t="inlineStr">
        <is>
          <t>Servicios WF (Expone WF)</t>
        </is>
      </c>
      <c r="D119" s="5" t="inlineStr">
        <is>
          <t>CU-17-7</t>
        </is>
      </c>
      <c r="E119" s="9" t="inlineStr">
        <is>
          <t>WF &gt; GetOfertasHipotecas</t>
        </is>
      </c>
      <c r="F119" s="9" t="inlineStr">
        <is>
          <t>El servicio WF incluye SOLICITAR_DATOS_INTERVINIENTES en los límites devueltos, coherente con el motor POC</t>
        </is>
      </c>
      <c r="G119" s="9" t="inlineStr">
        <is>
          <t>Expediente con JOVEN_* elegible (POC = true)</t>
        </is>
      </c>
      <c r="H119" s="9" t="inlineStr">
        <is>
          <t>La respuesta WF devuelve el flag = true; la comparación POC↔WF no marca diferencia. Nota: ausencia del campo en WF se interpreta como false (equivalente a "no solicitar") y no genera diff espurio</t>
        </is>
      </c>
      <c r="I119" s="9" t="inlineStr"/>
      <c r="J119" s="14" t="inlineStr">
        <is>
          <t>Pendiente</t>
        </is>
      </c>
      <c r="K119" s="9" t="inlineStr"/>
      <c r="L119" s="9" t="inlineStr"/>
      <c r="M119" s="9" t="inlineStr"/>
    </row>
    <row r="120">
      <c r="A120" s="9" t="inlineStr">
        <is>
          <t>Exportaciones</t>
        </is>
      </c>
      <c r="B120" s="5" t="inlineStr">
        <is>
          <t>CU-18</t>
        </is>
      </c>
      <c r="C120" s="9" t="inlineStr">
        <is>
          <t>Exportación ExpedientesProducto</t>
        </is>
      </c>
      <c r="D120" s="5" t="inlineStr">
        <is>
          <t>CU-18-1</t>
        </is>
      </c>
      <c r="E120" s="9" t="inlineStr">
        <is>
          <t>Export. ExpProd</t>
        </is>
      </c>
      <c r="F120" s="9" t="inlineStr">
        <is>
          <t>El fichero diario incluye la columna INGRESOS_DECLARADOS_T1</t>
        </is>
      </c>
      <c r="G120" s="9" t="inlineStr">
        <is>
          <t>Generar exportación</t>
        </is>
      </c>
      <c r="H120" s="9" t="inlineStr">
        <is>
          <t>La columna aparece con el importe mensual declarado del T1</t>
        </is>
      </c>
      <c r="I120" s="9" t="inlineStr"/>
      <c r="J120" s="14" t="inlineStr">
        <is>
          <t>Pendiente</t>
        </is>
      </c>
      <c r="K120" s="9" t="inlineStr"/>
      <c r="L120" s="9" t="inlineStr"/>
      <c r="M120" s="9" t="inlineStr"/>
    </row>
    <row r="121">
      <c r="A121" s="9" t="inlineStr">
        <is>
          <t>Exportaciones</t>
        </is>
      </c>
      <c r="B121" s="5" t="inlineStr">
        <is>
          <t>CU-18</t>
        </is>
      </c>
      <c r="C121" s="9" t="inlineStr">
        <is>
          <t>Exportación ExpedientesProducto</t>
        </is>
      </c>
      <c r="D121" s="5" t="inlineStr">
        <is>
          <t>CU-18-2</t>
        </is>
      </c>
      <c r="E121" s="9" t="inlineStr">
        <is>
          <t>Export. ExpProd</t>
        </is>
      </c>
      <c r="F121" s="9" t="inlineStr">
        <is>
          <t>El fichero incluye INGRESOS_DECLARADOS_T2</t>
        </is>
      </c>
      <c r="G121" s="9" t="inlineStr">
        <is>
          <t>Expediente con 2 titulares; generar exportación</t>
        </is>
      </c>
      <c r="H121" s="9" t="inlineStr">
        <is>
          <t>La columna aparece con el importe del T2 (nulo para expedientes con 1 titular)</t>
        </is>
      </c>
      <c r="I121" s="9" t="inlineStr"/>
      <c r="J121" s="14" t="inlineStr">
        <is>
          <t>Pendiente</t>
        </is>
      </c>
      <c r="K121" s="9" t="inlineStr"/>
      <c r="L121" s="9" t="inlineStr"/>
      <c r="M121" s="9" t="inlineStr"/>
    </row>
    <row r="122">
      <c r="A122" s="9" t="inlineStr">
        <is>
          <t>Exportaciones</t>
        </is>
      </c>
      <c r="B122" s="5" t="inlineStr">
        <is>
          <t>CU-18</t>
        </is>
      </c>
      <c r="C122" s="9" t="inlineStr">
        <is>
          <t>Exportación ExpedientesProducto</t>
        </is>
      </c>
      <c r="D122" s="5" t="inlineStr">
        <is>
          <t>CU-18-3</t>
        </is>
      </c>
      <c r="E122" s="9" t="inlineStr">
        <is>
          <t>Export. ExpProd</t>
        </is>
      </c>
      <c r="F122" s="9" t="inlineStr">
        <is>
          <t>El fichero incluye INGRESOS_OBSERVADOS_T1 e INGRESOS_OBSERVADOS_T2</t>
        </is>
      </c>
      <c r="G122" s="9" t="inlineStr">
        <is>
          <t>Generar exportación</t>
        </is>
      </c>
      <c r="H122" s="9" t="inlineStr">
        <is>
          <t>Las columnas aparecen con los valores calculados de INGRESOS_OBS por titular</t>
        </is>
      </c>
      <c r="I122" s="9" t="inlineStr"/>
      <c r="J122" s="14" t="inlineStr">
        <is>
          <t>Pendiente</t>
        </is>
      </c>
      <c r="K122" s="9" t="inlineStr"/>
      <c r="L122" s="9" t="inlineStr"/>
      <c r="M122" s="9" t="inlineStr"/>
    </row>
    <row r="123">
      <c r="A123" s="9" t="inlineStr">
        <is>
          <t>Exportaciones</t>
        </is>
      </c>
      <c r="B123" s="5" t="inlineStr">
        <is>
          <t>CU-18</t>
        </is>
      </c>
      <c r="C123" s="9" t="inlineStr">
        <is>
          <t>Exportación ExpedientesProducto</t>
        </is>
      </c>
      <c r="D123" s="5" t="inlineStr">
        <is>
          <t>CU-18-4</t>
        </is>
      </c>
      <c r="E123" s="9" t="inlineStr">
        <is>
          <t>Export. ExpProd</t>
        </is>
      </c>
      <c r="F123" s="9" t="inlineStr">
        <is>
          <t>El fichero incluye NUM_PAGAS_T1 y NUM_PAGAS_T2</t>
        </is>
      </c>
      <c r="G123" s="9" t="inlineStr">
        <is>
          <t>Generar exportación</t>
        </is>
      </c>
      <c r="H123" s="9" t="inlineStr">
        <is>
          <t>Las columnas aparecen con el número de pagas informado para cada titular</t>
        </is>
      </c>
      <c r="I123" s="9" t="inlineStr"/>
      <c r="J123" s="14" t="inlineStr">
        <is>
          <t>Pendiente</t>
        </is>
      </c>
      <c r="K123" s="9" t="inlineStr"/>
      <c r="L123" s="9" t="inlineStr"/>
      <c r="M123" s="9" t="inlineStr"/>
    </row>
    <row r="124">
      <c r="A124" s="9" t="inlineStr">
        <is>
          <t>Exportaciones</t>
        </is>
      </c>
      <c r="B124" s="5" t="inlineStr">
        <is>
          <t>CU-18</t>
        </is>
      </c>
      <c r="C124" s="9" t="inlineStr">
        <is>
          <t>Exportación ExpedientesProducto</t>
        </is>
      </c>
      <c r="D124" s="5" t="inlineStr">
        <is>
          <t>CU-18-5</t>
        </is>
      </c>
      <c r="E124" s="9" t="inlineStr">
        <is>
          <t>Export. ExpProd</t>
        </is>
      </c>
      <c r="F124" s="9" t="inlineStr">
        <is>
          <t>El fichero incluye la edad del titular mayor</t>
        </is>
      </c>
      <c r="G124" s="9" t="inlineStr">
        <is>
          <t>Generar exportación</t>
        </is>
      </c>
      <c r="H124" s="9" t="inlineStr">
        <is>
          <t>La columna aparece con la edad del titular de mayor edad</t>
        </is>
      </c>
      <c r="I124" s="9" t="inlineStr"/>
      <c r="J124" s="14" t="inlineStr">
        <is>
          <t>Pendiente</t>
        </is>
      </c>
      <c r="K124" s="9" t="inlineStr"/>
      <c r="L124" s="9" t="inlineStr"/>
      <c r="M124" s="9" t="inlineStr"/>
    </row>
    <row r="125">
      <c r="A125" s="9" t="inlineStr">
        <is>
          <t>Exportaciones</t>
        </is>
      </c>
      <c r="B125" s="5" t="inlineStr">
        <is>
          <t>CU-18</t>
        </is>
      </c>
      <c r="C125" s="9" t="inlineStr">
        <is>
          <t>Exportación ExpedientesProducto</t>
        </is>
      </c>
      <c r="D125" s="5" t="inlineStr">
        <is>
          <t>CU-18-6</t>
        </is>
      </c>
      <c r="E125" s="9" t="inlineStr">
        <is>
          <t>Export. ExpProd</t>
        </is>
      </c>
      <c r="F125" s="9" t="inlineStr">
        <is>
          <t>El fichero incluye TIN y DIFERENCIAL reales (con precio personalizado cuando aplica)</t>
        </is>
      </c>
      <c r="G125" s="9" t="inlineStr">
        <is>
          <t>Expediente con precio personalizado; generar exportación</t>
        </is>
      </c>
      <c r="H125" s="9" t="inlineStr">
        <is>
          <t>TIN y DIFERENCIAL reflejan el precio real, no el de tarifa</t>
        </is>
      </c>
      <c r="I125" s="9" t="inlineStr"/>
      <c r="J125" s="14" t="inlineStr">
        <is>
          <t>Pendiente</t>
        </is>
      </c>
      <c r="K125" s="9" t="inlineStr"/>
      <c r="L125" s="9" t="inlineStr"/>
      <c r="M125" s="9" t="inlineStr"/>
    </row>
    <row r="126">
      <c r="A126" s="9" t="inlineStr">
        <is>
          <t>Exportaciones</t>
        </is>
      </c>
      <c r="B126" s="5" t="inlineStr">
        <is>
          <t>CU-18</t>
        </is>
      </c>
      <c r="C126" s="9" t="inlineStr">
        <is>
          <t>Exportación ExpedientesProducto</t>
        </is>
      </c>
      <c r="D126" s="5" t="inlineStr">
        <is>
          <t>CU-18-7</t>
        </is>
      </c>
      <c r="E126" s="9" t="inlineStr">
        <is>
          <t>Export. ExpProd</t>
        </is>
      </c>
      <c r="F126" s="9" t="inlineStr">
        <is>
          <t>El fichero incluye TIN_CATALOGO y DIFERENCIAL_CATALOGO (con precio estándar)</t>
        </is>
      </c>
      <c r="G126" s="9" t="inlineStr">
        <is>
          <t>Expediente con precio personalizado; generar exportación</t>
        </is>
      </c>
      <c r="H126" s="9" t="inlineStr">
        <is>
          <t>TIN_CATALOGO y DIFERENCIAL_CATALOGO reflejan el precio del catálogo, no el personalizado</t>
        </is>
      </c>
      <c r="I126" s="9" t="inlineStr"/>
      <c r="J126" s="14" t="inlineStr">
        <is>
          <t>Pendiente</t>
        </is>
      </c>
      <c r="K126" s="9" t="inlineStr"/>
      <c r="L126" s="9" t="inlineStr"/>
      <c r="M126" s="9" t="inlineStr"/>
    </row>
    <row r="127">
      <c r="A127" s="9" t="inlineStr">
        <is>
          <t>Exportaciones</t>
        </is>
      </c>
      <c r="B127" s="5" t="inlineStr">
        <is>
          <t>CU-18</t>
        </is>
      </c>
      <c r="C127" s="9" t="inlineStr">
        <is>
          <t>Exportación ExpedientesProducto</t>
        </is>
      </c>
      <c r="D127" s="5" t="inlineStr">
        <is>
          <t>CU-18-8</t>
        </is>
      </c>
      <c r="E127" s="9" t="inlineStr">
        <is>
          <t>Export. ExpProd</t>
        </is>
      </c>
      <c r="F127" s="9" t="inlineStr">
        <is>
          <t>El fichero incluye PRIMERA_VIVIENDA_HABITUAL_FL</t>
        </is>
      </c>
      <c r="G127" s="9" t="inlineStr">
        <is>
          <t>Generar exportación</t>
        </is>
      </c>
      <c r="H127" s="9" t="inlineStr">
        <is>
          <t>La columna aparece con el valor del expediente (0 / 1)</t>
        </is>
      </c>
      <c r="I127" s="9" t="inlineStr"/>
      <c r="J127" s="14" t="inlineStr">
        <is>
          <t>Pendiente</t>
        </is>
      </c>
      <c r="K127" s="9" t="inlineStr"/>
      <c r="L127" s="9" t="inlineStr"/>
      <c r="M127" s="9" t="inlineStr"/>
    </row>
    <row r="128">
      <c r="A128" s="9" t="inlineStr">
        <is>
          <t>Exportaciones</t>
        </is>
      </c>
      <c r="B128" s="5" t="inlineStr">
        <is>
          <t>CU-19</t>
        </is>
      </c>
      <c r="C128" s="9" t="inlineStr">
        <is>
          <t>Exportación RiesgoModellicaLlamadas</t>
        </is>
      </c>
      <c r="D128" s="5" t="inlineStr">
        <is>
          <t>CU-19-1</t>
        </is>
      </c>
      <c r="E128" s="9" t="inlineStr">
        <is>
          <t>Export. Riesgos</t>
        </is>
      </c>
      <c r="F128" s="9" t="inlineStr">
        <is>
          <t>El fichero incluye vidaLaboralObs para cada interviniente</t>
        </is>
      </c>
      <c r="G128" s="9" t="inlineStr">
        <is>
          <t>Expediente con años/meses trabajados informados; generar exportación</t>
        </is>
      </c>
      <c r="H128" s="9" t="inlineStr">
        <is>
          <t>La columna aparece con el valor calculado (años × 12 + meses) por interviniente</t>
        </is>
      </c>
      <c r="I128" s="9" t="inlineStr"/>
      <c r="J128" s="14" t="inlineStr">
        <is>
          <t>Pendiente</t>
        </is>
      </c>
      <c r="K128" s="9" t="inlineStr"/>
      <c r="L128" s="9" t="inlineStr"/>
      <c r="M128" s="9" t="inlineStr"/>
    </row>
    <row r="129">
      <c r="A129" s="9" t="inlineStr">
        <is>
          <t>Exportaciones</t>
        </is>
      </c>
      <c r="B129" s="5" t="inlineStr">
        <is>
          <t>CU-19</t>
        </is>
      </c>
      <c r="C129" s="9" t="inlineStr">
        <is>
          <t>Exportación RiesgoModellicaLlamadas</t>
        </is>
      </c>
      <c r="D129" s="5" t="inlineStr">
        <is>
          <t>CU-19-2</t>
        </is>
      </c>
      <c r="E129" s="9" t="inlineStr">
        <is>
          <t>Export. Riesgos</t>
        </is>
      </c>
      <c r="F129" s="9" t="inlineStr">
        <is>
          <t>El fichero incluye PRIMERA_VIVIENDA_HABITUAL_FL</t>
        </is>
      </c>
      <c r="G129" s="9" t="inlineStr">
        <is>
          <t>Generar exportación</t>
        </is>
      </c>
      <c r="H129" s="9" t="inlineStr">
        <is>
          <t>La columna aparece con el valor correcto del expediente</t>
        </is>
      </c>
      <c r="I129" s="9" t="inlineStr"/>
      <c r="J129" s="14" t="inlineStr">
        <is>
          <t>Pendiente</t>
        </is>
      </c>
      <c r="K129" s="9" t="inlineStr"/>
      <c r="L129" s="9" t="inlineStr"/>
      <c r="M129" s="9" t="inlineStr"/>
    </row>
    <row r="130">
      <c r="A130" s="9" t="inlineStr">
        <is>
          <t>Exportaciones</t>
        </is>
      </c>
      <c r="B130" s="5" t="inlineStr">
        <is>
          <t>CU-19</t>
        </is>
      </c>
      <c r="C130" s="9" t="inlineStr">
        <is>
          <t>Exportación RiesgoModellicaLlamadas</t>
        </is>
      </c>
      <c r="D130" s="5" t="inlineStr">
        <is>
          <t>CU-19-3</t>
        </is>
      </c>
      <c r="E130" s="9" t="inlineStr">
        <is>
          <t>Export. Riesgos</t>
        </is>
      </c>
      <c r="F130" s="9" t="inlineStr">
        <is>
          <t>Los campos preexistentes del fichero no se ven alterados</t>
        </is>
      </c>
      <c r="G130" s="9" t="inlineStr">
        <is>
          <t>Comparar columnas del fichero antes y después del despliegue</t>
        </is>
      </c>
      <c r="H130" s="9" t="inlineStr">
        <is>
          <t>Todos los campos previos siguen presentes con los mismos valores</t>
        </is>
      </c>
      <c r="I130" s="9" t="inlineStr"/>
      <c r="J130" s="14" t="inlineStr">
        <is>
          <t>Pendiente</t>
        </is>
      </c>
      <c r="K130" s="9" t="inlineStr"/>
      <c r="L130" s="9" t="inlineStr"/>
      <c r="M130" s="9" t="inlineStr"/>
    </row>
    <row r="131">
      <c r="A131" s="9" t="inlineStr">
        <is>
          <t>Generación de documentos</t>
        </is>
      </c>
      <c r="B131" s="5" t="inlineStr">
        <is>
          <t>CU-20</t>
        </is>
      </c>
      <c r="C131" s="9" t="inlineStr">
        <is>
          <t>Servicio Generar-Documento (objeto cabecera)</t>
        </is>
      </c>
      <c r="D131" s="5" t="inlineStr">
        <is>
          <t>CU-20-1</t>
        </is>
      </c>
      <c r="E131" s="9" t="inlineStr">
        <is>
          <t>Documento &gt; Cabecera</t>
        </is>
      </c>
      <c r="F131" s="9" t="inlineStr">
        <is>
          <t>La cabecera incluye el nuevo campo edadMaxima con el valor del parámetro de la oferta</t>
        </is>
      </c>
      <c r="G131" s="9" t="inlineStr">
        <is>
          <t>Expediente con JOVEN_ALTO_LTV (MAX_EDAD = 40); generar documento</t>
        </is>
      </c>
      <c r="H131" s="9" t="inlineStr">
        <is>
          <t>edadMaxima = "40" en la cabecera</t>
        </is>
      </c>
      <c r="I131" s="9" t="inlineStr"/>
      <c r="J131" s="14" t="inlineStr">
        <is>
          <t>Pendiente</t>
        </is>
      </c>
      <c r="K131" s="9" t="inlineStr"/>
      <c r="L131" s="9" t="inlineStr"/>
      <c r="M131" s="9" t="inlineStr"/>
    </row>
    <row r="132">
      <c r="A132" s="9" t="inlineStr">
        <is>
          <t>Generación de documentos</t>
        </is>
      </c>
      <c r="B132" s="5" t="inlineStr">
        <is>
          <t>CU-20</t>
        </is>
      </c>
      <c r="C132" s="9" t="inlineStr">
        <is>
          <t>Servicio Generar-Documento (objeto cabecera)</t>
        </is>
      </c>
      <c r="D132" s="5" t="inlineStr">
        <is>
          <t>CU-20-2</t>
        </is>
      </c>
      <c r="E132" s="9" t="inlineStr">
        <is>
          <t>Documento &gt; Cabecera</t>
        </is>
      </c>
      <c r="F132" s="9" t="inlineStr">
        <is>
          <t>La cabecera incluye el nuevo campo edadMasPlazo con el valor del parámetro EDAD_PLAZO de la oferta</t>
        </is>
      </c>
      <c r="G132" s="9" t="inlineStr">
        <is>
          <t>Expediente con JOVEN_COMBINADA (EDAD_PLAZO = 75); generar documento</t>
        </is>
      </c>
      <c r="H132" s="9" t="inlineStr">
        <is>
          <t>edadMasPlazo = "75" en la cabecera</t>
        </is>
      </c>
      <c r="I132" s="9" t="inlineStr"/>
      <c r="J132" s="14" t="inlineStr">
        <is>
          <t>Pendiente</t>
        </is>
      </c>
      <c r="K132" s="9" t="inlineStr"/>
      <c r="L132" s="9" t="inlineStr"/>
      <c r="M132" s="9" t="inlineStr"/>
    </row>
    <row r="133">
      <c r="A133" s="9" t="inlineStr">
        <is>
          <t>Generación de documentos</t>
        </is>
      </c>
      <c r="B133" s="5" t="inlineStr">
        <is>
          <t>CU-20</t>
        </is>
      </c>
      <c r="C133" s="9" t="inlineStr">
        <is>
          <t>Servicio Generar-Documento (objeto cabecera)</t>
        </is>
      </c>
      <c r="D133" s="5" t="inlineStr">
        <is>
          <t>CU-20-3</t>
        </is>
      </c>
      <c r="E133" s="9" t="inlineStr">
        <is>
          <t>Documento &gt; Cabecera</t>
        </is>
      </c>
      <c r="F133" s="9" t="inlineStr">
        <is>
          <t>Si el parámetro EDAD_PLAZO no existe para la oferta, edadMasPlazo usa la constante del sistema según finalidad</t>
        </is>
      </c>
      <c r="G133" s="9" t="inlineStr">
        <is>
          <t>Oferta sin parámetro EDAD_PLAZO; finalidad 1ª vivienda</t>
        </is>
      </c>
      <c r="H133" s="9" t="inlineStr">
        <is>
          <t>edadMasPlazo = valor de constante EdadMaxPrimeraVivienda; el campo no aparece vacío</t>
        </is>
      </c>
      <c r="I133" s="9" t="inlineStr"/>
      <c r="J133" s="14" t="inlineStr">
        <is>
          <t>Pendiente</t>
        </is>
      </c>
      <c r="K133" s="9" t="inlineStr"/>
      <c r="L133" s="9" t="inlineStr"/>
      <c r="M133" s="9" t="inlineStr"/>
    </row>
    <row r="134">
      <c r="A134" s="9" t="inlineStr">
        <is>
          <t>Generación de documentos</t>
        </is>
      </c>
      <c r="B134" s="5" t="inlineStr">
        <is>
          <t>CU-20</t>
        </is>
      </c>
      <c r="C134" s="9" t="inlineStr">
        <is>
          <t>Servicio Generar-Documento (objeto cabecera)</t>
        </is>
      </c>
      <c r="D134" s="5" t="inlineStr">
        <is>
          <t>CU-20-4</t>
        </is>
      </c>
      <c r="E134" s="9" t="inlineStr">
        <is>
          <t>Documento &gt; Cabecera</t>
        </is>
      </c>
      <c r="F134" s="9" t="inlineStr">
        <is>
          <t>La cabecera incluye importeMinimoCcaa con formato: separador de miles "." y decimal "," con 2 decimales</t>
        </is>
      </c>
      <c r="G134" s="9" t="inlineStr">
        <is>
          <t>CCAA con importe mínimo = 150.000 €</t>
        </is>
      </c>
      <c r="H134" s="9" t="inlineStr">
        <is>
          <t>importeMinimoCcaa = "150.000,00" en la cabecera</t>
        </is>
      </c>
      <c r="I134" s="9" t="inlineStr"/>
      <c r="J134" s="14" t="inlineStr">
        <is>
          <t>Pendiente</t>
        </is>
      </c>
      <c r="K134" s="9" t="inlineStr"/>
      <c r="L134" s="9" t="inlineStr"/>
      <c r="M134" s="9" t="inlineStr"/>
    </row>
    <row r="135">
      <c r="A135" s="9" t="inlineStr">
        <is>
          <t>Generación de documentos</t>
        </is>
      </c>
      <c r="B135" s="5" t="inlineStr">
        <is>
          <t>CU-20</t>
        </is>
      </c>
      <c r="C135" s="9" t="inlineStr">
        <is>
          <t>Servicio Generar-Documento (objeto cabecera)</t>
        </is>
      </c>
      <c r="D135" s="5" t="inlineStr">
        <is>
          <t>CU-20-5</t>
        </is>
      </c>
      <c r="E135" s="9" t="inlineStr">
        <is>
          <t>Documento &gt; Cabecera</t>
        </is>
      </c>
      <c r="F135" s="9" t="inlineStr">
        <is>
          <t>El formato de importeMinimoCcaa es correcto para un importe con decimales</t>
        </is>
      </c>
      <c r="G135" s="9" t="inlineStr">
        <is>
          <t>Importe mínimo = 123.456,78 €</t>
        </is>
      </c>
      <c r="H135" s="9" t="inlineStr">
        <is>
          <t>importeMinimoCcaa = "123.456,78"</t>
        </is>
      </c>
      <c r="I135" s="9" t="inlineStr"/>
      <c r="J135" s="14" t="inlineStr">
        <is>
          <t>Pendiente</t>
        </is>
      </c>
      <c r="K135" s="9" t="inlineStr"/>
      <c r="L135" s="9" t="inlineStr"/>
      <c r="M135" s="9" t="inlineStr"/>
    </row>
    <row r="136">
      <c r="A136" s="9" t="inlineStr">
        <is>
          <t>Generación de documentos</t>
        </is>
      </c>
      <c r="B136" s="5" t="inlineStr">
        <is>
          <t>CU-21</t>
        </is>
      </c>
      <c r="C136" s="9" t="inlineStr">
        <is>
          <t>Servicio carta de Pre-Aprobación</t>
        </is>
      </c>
      <c r="D136" s="5" t="inlineStr">
        <is>
          <t>CU-21-1</t>
        </is>
      </c>
      <c r="E136" s="9" t="inlineStr">
        <is>
          <t>Carta Pre-Aprob.</t>
        </is>
      </c>
      <c r="F136" s="9" t="inlineStr">
        <is>
          <t>La raíz del objeto incluye edadMasPlazo con el valor del parámetro EDAD_PLAZO</t>
        </is>
      </c>
      <c r="G136" s="9" t="inlineStr">
        <is>
          <t>Expediente con JOVEN_ALTO_PLAZO (EDAD_PLAZO = 75); generar carta</t>
        </is>
      </c>
      <c r="H136" s="9" t="inlineStr">
        <is>
          <t>edadMasPlazo = "75" en la raíz del objeto</t>
        </is>
      </c>
      <c r="I136" s="9" t="inlineStr"/>
      <c r="J136" s="14" t="inlineStr">
        <is>
          <t>Pendiente</t>
        </is>
      </c>
      <c r="K136" s="9" t="inlineStr"/>
      <c r="L136" s="9" t="inlineStr"/>
      <c r="M136" s="9" t="inlineStr"/>
    </row>
    <row r="137">
      <c r="A137" s="9" t="inlineStr">
        <is>
          <t>Generación de documentos</t>
        </is>
      </c>
      <c r="B137" s="5" t="inlineStr">
        <is>
          <t>CU-21</t>
        </is>
      </c>
      <c r="C137" s="9" t="inlineStr">
        <is>
          <t>Servicio carta de Pre-Aprobación</t>
        </is>
      </c>
      <c r="D137" s="5" t="inlineStr">
        <is>
          <t>CU-21-2</t>
        </is>
      </c>
      <c r="E137" s="9" t="inlineStr">
        <is>
          <t>Carta Pre-Aprob.</t>
        </is>
      </c>
      <c r="F137" s="9" t="inlineStr">
        <is>
          <t>La raíz del objeto incluye edadMaxima con el valor del parámetro MAX_EDAD</t>
        </is>
      </c>
      <c r="G137" s="9" t="inlineStr">
        <is>
          <t>Expediente con JOVEN_ALTO_LTV (MAX_EDAD = 40); generar carta</t>
        </is>
      </c>
      <c r="H137" s="9" t="inlineStr">
        <is>
          <t>edadMaxima = "40" en la raíz del objeto</t>
        </is>
      </c>
      <c r="I137" s="9" t="inlineStr"/>
      <c r="J137" s="14" t="inlineStr">
        <is>
          <t>Pendiente</t>
        </is>
      </c>
      <c r="K137" s="9" t="inlineStr"/>
      <c r="L137" s="9" t="inlineStr"/>
      <c r="M137" s="9" t="inlineStr"/>
    </row>
    <row r="138">
      <c r="A138" s="9" t="inlineStr">
        <is>
          <t>Desactivación de ofertas</t>
        </is>
      </c>
      <c r="B138" s="5" t="inlineStr">
        <is>
          <t>CU-22</t>
        </is>
      </c>
      <c r="C138" s="9" t="inlineStr">
        <is>
          <t>Desactivación y visibilidad de ofertas</t>
        </is>
      </c>
      <c r="D138" s="5" t="inlineStr">
        <is>
          <t>CU-22-1</t>
        </is>
      </c>
      <c r="E138" s="9" t="inlineStr">
        <is>
          <t>Desactivación &gt; Nuevo exp.</t>
        </is>
      </c>
      <c r="F138" s="9" t="inlineStr">
        <is>
          <t>Una oferta con Activa_fl = 0 no aparece en el simulador para expedientes nuevos</t>
        </is>
      </c>
      <c r="G138" s="9" t="inlineStr">
        <is>
          <t>JOVEN_COMBINADA desactivada; nuevo expediente con P1 (cumple todas las condiciones para JOVEN_COMBINADA)</t>
        </is>
      </c>
      <c r="H138" s="9" t="inlineStr">
        <is>
          <t>JOVEN_COMBINADA no aparece en la tabla de ofertas; el motor no la recibe como candidata</t>
        </is>
      </c>
      <c r="I138" s="9" t="inlineStr"/>
      <c r="J138" s="14" t="inlineStr">
        <is>
          <t>Pendiente</t>
        </is>
      </c>
      <c r="K138" s="9" t="inlineStr"/>
      <c r="L138" s="9" t="inlineStr"/>
      <c r="M138" s="9" t="inlineStr"/>
    </row>
    <row r="139">
      <c r="A139" s="9" t="inlineStr">
        <is>
          <t>Desactivación de ofertas</t>
        </is>
      </c>
      <c r="B139" s="5" t="inlineStr">
        <is>
          <t>CU-22</t>
        </is>
      </c>
      <c r="C139" s="9" t="inlineStr">
        <is>
          <t>Desactivación y visibilidad de ofertas</t>
        </is>
      </c>
      <c r="D139" s="5" t="inlineStr">
        <is>
          <t>CU-22-2</t>
        </is>
      </c>
      <c r="E139" s="9" t="inlineStr">
        <is>
          <t>Desactivación &gt; Nuevo exp.</t>
        </is>
      </c>
      <c r="F139" s="9" t="inlineStr">
        <is>
          <t>Al reactivar una oferta (Activa_fl = 0 → 1), vuelve a aparecer en nuevos expedientes</t>
        </is>
      </c>
      <c r="G139" s="9" t="inlineStr">
        <is>
          <t>JOVEN_COMBINADA desactivada; reactivarla; nuevo expediente con P1</t>
        </is>
      </c>
      <c r="H139" s="9" t="inlineStr">
        <is>
          <t>JOVEN_COMBINADA aparece de nuevo en la tabla de ofertas</t>
        </is>
      </c>
      <c r="I139" s="9" t="inlineStr"/>
      <c r="J139" s="14" t="inlineStr">
        <is>
          <t>Pendiente</t>
        </is>
      </c>
      <c r="K139" s="9" t="inlineStr"/>
      <c r="L139" s="9" t="inlineStr"/>
      <c r="M139" s="9" t="inlineStr"/>
    </row>
    <row r="140">
      <c r="A140" s="9" t="inlineStr">
        <is>
          <t>Desactivación de ofertas</t>
        </is>
      </c>
      <c r="B140" s="5" t="inlineStr">
        <is>
          <t>CU-22</t>
        </is>
      </c>
      <c r="C140" s="9" t="inlineStr">
        <is>
          <t>Desactivación y visibilidad de ofertas</t>
        </is>
      </c>
      <c r="D140" s="5" t="inlineStr">
        <is>
          <t>CU-22-3</t>
        </is>
      </c>
      <c r="E140" s="9" t="inlineStr">
        <is>
          <t>Desactivación &gt; Exp. existente</t>
        </is>
      </c>
      <c r="F140" s="9" t="inlineStr">
        <is>
          <t>Desactivar una oferta no afecta a expedientes que ya la tienen asignada</t>
        </is>
      </c>
      <c r="G140" s="9" t="inlineStr">
        <is>
          <t>Expediente con JOVEN_COMBINADA asignada; desactivar la oferta</t>
        </is>
      </c>
      <c r="H140" s="9" t="inlineStr">
        <is>
          <t>El expediente conserva JOVEN_COMBINADA como oferta asignada sin ningún cambio</t>
        </is>
      </c>
      <c r="I140" s="9" t="inlineStr"/>
      <c r="J140" s="14" t="inlineStr">
        <is>
          <t>Pendiente</t>
        </is>
      </c>
      <c r="K140" s="9" t="inlineStr"/>
      <c r="L140" s="9" t="inlineStr"/>
      <c r="M140" s="9" t="inlineStr"/>
    </row>
    <row r="141">
      <c r="A141" s="9" t="inlineStr">
        <is>
          <t>Desactivación de ofertas</t>
        </is>
      </c>
      <c r="B141" s="5" t="inlineStr">
        <is>
          <t>CU-22</t>
        </is>
      </c>
      <c r="C141" s="9" t="inlineStr">
        <is>
          <t>Desactivación y visibilidad de ofertas</t>
        </is>
      </c>
      <c r="D141" s="5" t="inlineStr">
        <is>
          <t>CU-22-4</t>
        </is>
      </c>
      <c r="E141" s="9" t="inlineStr">
        <is>
          <t>Desactivación &gt; Nuevo exp.</t>
        </is>
      </c>
      <c r="F141" s="9" t="inlineStr">
        <is>
          <t>Con todas las JOVEN_* desactivadas, el simulador solo muestra CLIENTES para nuevos expedientes (si aplica)</t>
        </is>
      </c>
      <c r="G141" s="9" t="inlineStr">
        <is>
          <t>Todas las JOVEN_* con Activa_fl = 0; P4 (ant. 8 m &gt; 6, cumple CLIENTES)</t>
        </is>
      </c>
      <c r="H141" s="9" t="inlineStr">
        <is>
          <t>Solo CLIENTES aparece en resultados</t>
        </is>
      </c>
      <c r="I141" s="9" t="inlineStr"/>
      <c r="J141" s="14" t="inlineStr">
        <is>
          <t>Pendiente</t>
        </is>
      </c>
      <c r="K141" s="9" t="inlineStr"/>
      <c r="L141" s="9" t="inlineStr"/>
      <c r="M141" s="9" t="inlineStr"/>
    </row>
    <row r="142">
      <c r="A142" s="9" t="inlineStr">
        <is>
          <t>Desactivación de ofertas</t>
        </is>
      </c>
      <c r="B142" s="5" t="inlineStr">
        <is>
          <t>CU-23</t>
        </is>
      </c>
      <c r="C142" s="9" t="inlineStr">
        <is>
          <t>Flag MANTIENE_OFERTA_FL en el expediente</t>
        </is>
      </c>
      <c r="D142" s="5" t="inlineStr">
        <is>
          <t>CU-23-1</t>
        </is>
      </c>
      <c r="E142" s="9" t="inlineStr">
        <is>
          <t>Desactivación &gt; Flag</t>
        </is>
      </c>
      <c r="F142" s="9" t="inlineStr">
        <is>
          <t>Al ganar una oferta con Mantener_oferta_fl = 1, el expediente queda marcado con MANTIENE_OFERTA_FL = 1</t>
        </is>
      </c>
      <c r="G142" s="9" t="inlineStr">
        <is>
          <t>JOVEN_COMBINADA con Mantener_oferta_fl = 1; expediente P1 que la obtiene como ganadora</t>
        </is>
      </c>
      <c r="H142" s="9" t="inlineStr">
        <is>
          <t>El expediente tiene MANTIENE_OFERTA_FL = 1 tras la asignación</t>
        </is>
      </c>
      <c r="I142" s="9" t="inlineStr"/>
      <c r="J142" s="14" t="inlineStr">
        <is>
          <t>Pendiente</t>
        </is>
      </c>
      <c r="K142" s="9" t="inlineStr"/>
      <c r="L142" s="9" t="inlineStr"/>
      <c r="M142" s="9" t="inlineStr"/>
    </row>
    <row r="143">
      <c r="A143" s="9" t="inlineStr">
        <is>
          <t>Desactivación de ofertas</t>
        </is>
      </c>
      <c r="B143" s="5" t="inlineStr">
        <is>
          <t>CU-23</t>
        </is>
      </c>
      <c r="C143" s="9" t="inlineStr">
        <is>
          <t>Flag MANTIENE_OFERTA_FL en el expediente</t>
        </is>
      </c>
      <c r="D143" s="5" t="inlineStr">
        <is>
          <t>CU-23-2</t>
        </is>
      </c>
      <c r="E143" s="9" t="inlineStr">
        <is>
          <t>Desactivación &gt; Flag</t>
        </is>
      </c>
      <c r="F143" s="9" t="inlineStr">
        <is>
          <t>Al ganar una oferta con Mantener_oferta_fl = 0, el expediente no queda marcado</t>
        </is>
      </c>
      <c r="G143" s="9" t="inlineStr">
        <is>
          <t>JOVEN_ALTO_LTV con Mantener_oferta_fl = 0; expediente que la obtiene como ganadora</t>
        </is>
      </c>
      <c r="H143" s="9" t="inlineStr">
        <is>
          <t>El expediente tiene MANTIENE_OFERTA_FL = 0</t>
        </is>
      </c>
      <c r="I143" s="9" t="inlineStr"/>
      <c r="J143" s="14" t="inlineStr">
        <is>
          <t>Pendiente</t>
        </is>
      </c>
      <c r="K143" s="9" t="inlineStr"/>
      <c r="L143" s="9" t="inlineStr"/>
      <c r="M143" s="9" t="inlineStr"/>
    </row>
    <row r="144">
      <c r="A144" s="9" t="inlineStr">
        <is>
          <t>Desactivación de ofertas</t>
        </is>
      </c>
      <c r="B144" s="5" t="inlineStr">
        <is>
          <t>CU-24</t>
        </is>
      </c>
      <c r="C144" s="9" t="inlineStr">
        <is>
          <t>Resimulación con MANTIENE_OFERTA_FL = 1</t>
        </is>
      </c>
      <c r="D144" s="5" t="inlineStr">
        <is>
          <t>CU-24-1</t>
        </is>
      </c>
      <c r="E144" s="9" t="inlineStr">
        <is>
          <t>Desactivación &gt; Resim.</t>
        </is>
      </c>
      <c r="F144" s="9" t="inlineStr">
        <is>
          <t>Al resimular con MANTIENE_OFERTA_FL = 1, se evalúan las ofertas activas y las desactivadas con Mantener_oferta_fl = 1</t>
        </is>
      </c>
      <c r="G144" s="9" t="inlineStr">
        <is>
          <t>Expediente con MANTIENE_OFERTA_FL = 1; JOVEN_COMBINADA desactivada con Mantener_oferta_fl = 1; JOVEN_ALTO_LTV activa</t>
        </is>
      </c>
      <c r="H144" s="9" t="inlineStr">
        <is>
          <t>La resimulación incluye ambas ofertas como candidatas</t>
        </is>
      </c>
      <c r="I144" s="9" t="inlineStr"/>
      <c r="J144" s="14" t="inlineStr">
        <is>
          <t>Pendiente</t>
        </is>
      </c>
      <c r="K144" s="9" t="inlineStr"/>
      <c r="L144" s="9" t="inlineStr"/>
      <c r="M144" s="9" t="inlineStr"/>
    </row>
    <row r="145">
      <c r="A145" s="9" t="inlineStr">
        <is>
          <t>Desactivación de ofertas</t>
        </is>
      </c>
      <c r="B145" s="5" t="inlineStr">
        <is>
          <t>CU-24</t>
        </is>
      </c>
      <c r="C145" s="9" t="inlineStr">
        <is>
          <t>Resimulación con MANTIENE_OFERTA_FL = 1</t>
        </is>
      </c>
      <c r="D145" s="5" t="inlineStr">
        <is>
          <t>CU-24-2</t>
        </is>
      </c>
      <c r="E145" s="9" t="inlineStr">
        <is>
          <t>Desactivación &gt; Resim.</t>
        </is>
      </c>
      <c r="F145" s="9" t="inlineStr">
        <is>
          <t>La oferta desactivada mantenida puede resultar ganadora si tiene el mayor ranking elegible</t>
        </is>
      </c>
      <c r="G145" s="9" t="inlineStr">
        <is>
          <t>Continuación de DESACT-07 donde JOVEN_COMBINADA (rank 100) sigue siendo la mejor opción elegible</t>
        </is>
      </c>
      <c r="H145" s="9" t="inlineStr">
        <is>
          <t>JOVEN_COMBINADA resulta ganadora pese a estar desactivada</t>
        </is>
      </c>
      <c r="I145" s="9" t="inlineStr"/>
      <c r="J145" s="14" t="inlineStr">
        <is>
          <t>Pendiente</t>
        </is>
      </c>
      <c r="K145" s="9" t="inlineStr"/>
      <c r="L145" s="9" t="inlineStr"/>
      <c r="M145" s="9" t="inlineStr"/>
    </row>
    <row r="146">
      <c r="A146" s="9" t="inlineStr">
        <is>
          <t>Desactivación de ofertas</t>
        </is>
      </c>
      <c r="B146" s="5" t="inlineStr">
        <is>
          <t>CU-24</t>
        </is>
      </c>
      <c r="C146" s="9" t="inlineStr">
        <is>
          <t>Resimulación con MANTIENE_OFERTA_FL = 1</t>
        </is>
      </c>
      <c r="D146" s="5" t="inlineStr">
        <is>
          <t>CU-24-3</t>
        </is>
      </c>
      <c r="E146" s="9" t="inlineStr">
        <is>
          <t>Desactivación &gt; Resim.</t>
        </is>
      </c>
      <c r="F146" s="9" t="inlineStr">
        <is>
          <t>Si tras resimular gana una oferta con Mantener_oferta_fl = 0, el expediente pierde MANTIENE_OFERTA_FL</t>
        </is>
      </c>
      <c r="G146" s="9" t="inlineStr">
        <is>
          <t>Expediente con MANTIENE_OFERTA_FL = 1; condiciones cambian y gana JOVEN_ALTO_LTV (Mantener_oferta_fl = 0)</t>
        </is>
      </c>
      <c r="H146" s="9" t="inlineStr">
        <is>
          <t>El expediente queda con MANTIENE_OFERTA_FL = 0</t>
        </is>
      </c>
      <c r="I146" s="9" t="inlineStr"/>
      <c r="J146" s="14" t="inlineStr">
        <is>
          <t>Pendiente</t>
        </is>
      </c>
      <c r="K146" s="9" t="inlineStr"/>
      <c r="L146" s="9" t="inlineStr"/>
      <c r="M146" s="9" t="inlineStr"/>
    </row>
    <row r="147">
      <c r="A147" s="9" t="inlineStr">
        <is>
          <t>Desactivación de ofertas</t>
        </is>
      </c>
      <c r="B147" s="5" t="inlineStr">
        <is>
          <t>CU-24</t>
        </is>
      </c>
      <c r="C147" s="9" t="inlineStr">
        <is>
          <t>Resimulación con MANTIENE_OFERTA_FL = 1</t>
        </is>
      </c>
      <c r="D147" s="5" t="inlineStr">
        <is>
          <t>CU-24-4</t>
        </is>
      </c>
      <c r="E147" s="9" t="inlineStr">
        <is>
          <t>Desactivación &gt; Resim.</t>
        </is>
      </c>
      <c r="F147" s="9" t="inlineStr">
        <is>
          <t>Si tras resimular gana una oferta activa con Mantener_oferta_fl = 1, el expediente conserva MANTIENE_OFERTA_FL</t>
        </is>
      </c>
      <c r="G147" s="9" t="inlineStr">
        <is>
          <t>Expediente con MANTIENE_OFERTA_FL = 1; gana JOVEN_MEJOR_PRECIO (activa, Mantener_oferta_fl = 1)</t>
        </is>
      </c>
      <c r="H147" s="9" t="inlineStr">
        <is>
          <t>El expediente conserva MANTIENE_OFERTA_FL = 1</t>
        </is>
      </c>
      <c r="I147" s="9" t="inlineStr"/>
      <c r="J147" s="14" t="inlineStr">
        <is>
          <t>Pendiente</t>
        </is>
      </c>
      <c r="K147" s="9" t="inlineStr"/>
      <c r="L147" s="9" t="inlineStr"/>
      <c r="M147" s="9" t="inlineStr"/>
    </row>
    <row r="148">
      <c r="A148" s="9" t="inlineStr">
        <is>
          <t>Desactivación de ofertas</t>
        </is>
      </c>
      <c r="B148" s="5" t="inlineStr">
        <is>
          <t>CU-24</t>
        </is>
      </c>
      <c r="C148" s="9" t="inlineStr">
        <is>
          <t>Resimulación con MANTIENE_OFERTA_FL = 1</t>
        </is>
      </c>
      <c r="D148" s="5" t="inlineStr">
        <is>
          <t>CU-24-5</t>
        </is>
      </c>
      <c r="E148" s="9" t="inlineStr">
        <is>
          <t>Desactivación &gt; Resim.</t>
        </is>
      </c>
      <c r="F148" s="9" t="inlineStr">
        <is>
          <t>Al resimular un expediente sin MANTIENE_OFERTA_FL, las ofertas desactivadas no se consideran aunque tengan Mantener_oferta_fl = 1</t>
        </is>
      </c>
      <c r="G148" s="9" t="inlineStr">
        <is>
          <t>Expediente con MANTIENE_OFERTA_FL = 0; JOVEN_COMBINADA desactivada con Mantener_oferta_fl = 1</t>
        </is>
      </c>
      <c r="H148" s="9" t="inlineStr">
        <is>
          <t>JOVEN_COMBINADA no se incluye en la resimulación</t>
        </is>
      </c>
      <c r="I148" s="9" t="inlineStr"/>
      <c r="J148" s="14" t="inlineStr">
        <is>
          <t>Pendiente</t>
        </is>
      </c>
      <c r="K148" s="9" t="inlineStr"/>
      <c r="L148" s="9" t="inlineStr"/>
      <c r="M148" s="9" t="inlineStr"/>
    </row>
    <row r="149">
      <c r="A149" s="9" t="inlineStr">
        <is>
          <t>Desactivación de ofertas</t>
        </is>
      </c>
      <c r="B149" s="5" t="inlineStr">
        <is>
          <t>CU-24</t>
        </is>
      </c>
      <c r="C149" s="9" t="inlineStr">
        <is>
          <t>Resimulación con MANTIENE_OFERTA_FL = 1</t>
        </is>
      </c>
      <c r="D149" s="5" t="inlineStr">
        <is>
          <t>CU-24-6</t>
        </is>
      </c>
      <c r="E149" s="9" t="inlineStr">
        <is>
          <t>Desactivación &gt; Resim.</t>
        </is>
      </c>
      <c r="F149" s="9" t="inlineStr">
        <is>
          <t>Una oferta desactivada con Mantener_oferta_fl = 0 nunca se considera en resimulaciones, ni siquiera con el flag del expediente activo</t>
        </is>
      </c>
      <c r="G149" s="9" t="inlineStr">
        <is>
          <t>Expediente con MANTIENE_OFERTA_FL = 1; oferta desactivada con Mantener_oferta_fl = 0</t>
        </is>
      </c>
      <c r="H149" s="9" t="inlineStr">
        <is>
          <t>La oferta no se incluye en la resimulación</t>
        </is>
      </c>
      <c r="I149" s="9" t="inlineStr"/>
      <c r="J149" s="14" t="inlineStr">
        <is>
          <t>Pendiente</t>
        </is>
      </c>
      <c r="K149" s="9" t="inlineStr"/>
      <c r="L149" s="9" t="inlineStr"/>
      <c r="M149" s="9" t="inlineStr"/>
    </row>
    <row r="150">
      <c r="A150" s="9" t="inlineStr">
        <is>
          <t>Desactivación de ofertas</t>
        </is>
      </c>
      <c r="B150" s="5" t="inlineStr">
        <is>
          <t>CU-25</t>
        </is>
      </c>
      <c r="C150" s="9" t="inlineStr">
        <is>
          <t>Cambio de fecha de aplicación de precios</t>
        </is>
      </c>
      <c r="D150" s="5" t="inlineStr">
        <is>
          <t>CU-25-1</t>
        </is>
      </c>
      <c r="E150" s="9" t="inlineStr">
        <is>
          <t>Desactivación &gt; Fecha</t>
        </is>
      </c>
      <c r="F150" s="9" t="inlineStr">
        <is>
          <t>Si cambia fecha_aplicacion_precios y las tarifas difieren, la oferta asignada se anula</t>
        </is>
      </c>
      <c r="G150" s="9" t="inlineStr">
        <is>
          <t>Expediente con JOVEN_COMBINADA asignada; cambiar fecha_aplicacion_precios a una fecha con tarifas distintas</t>
        </is>
      </c>
      <c r="H150" s="9" t="inlineStr">
        <is>
          <t>La oferta asignada queda anulada</t>
        </is>
      </c>
      <c r="I150" s="9" t="inlineStr"/>
      <c r="J150" s="14" t="inlineStr">
        <is>
          <t>Pendiente</t>
        </is>
      </c>
      <c r="K150" s="9" t="inlineStr"/>
      <c r="L150" s="9" t="inlineStr"/>
      <c r="M150" s="9" t="inlineStr"/>
    </row>
    <row r="151">
      <c r="A151" s="9" t="inlineStr">
        <is>
          <t>Desactivación de ofertas</t>
        </is>
      </c>
      <c r="B151" s="5" t="inlineStr">
        <is>
          <t>CU-25</t>
        </is>
      </c>
      <c r="C151" s="9" t="inlineStr">
        <is>
          <t>Cambio de fecha de aplicación de precios</t>
        </is>
      </c>
      <c r="D151" s="5" t="inlineStr">
        <is>
          <t>CU-25-2</t>
        </is>
      </c>
      <c r="E151" s="9" t="inlineStr">
        <is>
          <t>Desactivación &gt; Fecha</t>
        </is>
      </c>
      <c r="F151" s="9" t="inlineStr">
        <is>
          <t>Tras anular la oferta por cambio de fecha_aplicacion_precios, se recalcula automáticamente con el motor FINAL</t>
        </is>
      </c>
      <c r="G151" s="9" t="inlineStr">
        <is>
          <t>Continuación de DESACT-13</t>
        </is>
      </c>
      <c r="H151" s="9" t="inlineStr">
        <is>
          <t>El motor FINAL se ejecuta; el expediente obtiene la nueva oferta ganadora según las tarifas de la nueva fecha</t>
        </is>
      </c>
      <c r="I151" s="9" t="inlineStr"/>
      <c r="J151" s="14" t="inlineStr">
        <is>
          <t>Pendiente</t>
        </is>
      </c>
      <c r="K151" s="9" t="inlineStr"/>
      <c r="L151" s="9" t="inlineStr"/>
      <c r="M151" s="9" t="inlineStr"/>
    </row>
    <row r="152">
      <c r="A152" s="9" t="inlineStr">
        <is>
          <t>Desactivación de ofertas</t>
        </is>
      </c>
      <c r="B152" s="5" t="inlineStr">
        <is>
          <t>CU-25</t>
        </is>
      </c>
      <c r="C152" s="9" t="inlineStr">
        <is>
          <t>Cambio de fecha de aplicación de precios</t>
        </is>
      </c>
      <c r="D152" s="5" t="inlineStr">
        <is>
          <t>CU-25-3</t>
        </is>
      </c>
      <c r="E152" s="9" t="inlineStr">
        <is>
          <t>Desactivación &gt; Fecha</t>
        </is>
      </c>
      <c r="F152" s="9" t="inlineStr">
        <is>
          <t>Si el cambio de fecha_aplicacion_precios no produce cambio de tarifas, la oferta asignada se mantiene</t>
        </is>
      </c>
      <c r="G152" s="9" t="inlineStr">
        <is>
          <t>Cambiar fecha_aplicacion_precios a una fecha con las mismas tarifas</t>
        </is>
      </c>
      <c r="H152" s="9" t="inlineStr">
        <is>
          <t>La oferta asignada no se modifica; no se lanza recálculo</t>
        </is>
      </c>
      <c r="I152" s="9" t="inlineStr"/>
      <c r="J152" s="14" t="inlineStr">
        <is>
          <t>Pendiente</t>
        </is>
      </c>
      <c r="K152" s="9" t="inlineStr"/>
      <c r="L152" s="9" t="inlineStr"/>
      <c r="M152" s="9" t="inlineStr"/>
    </row>
    <row r="153">
      <c r="A153" s="9" t="inlineStr">
        <is>
          <t>Vigencia de parámetros y fecha de aplicación de la oferta</t>
        </is>
      </c>
      <c r="B153" s="5" t="inlineStr">
        <is>
          <t>CU-27</t>
        </is>
      </c>
      <c r="C153" s="9" t="inlineStr">
        <is>
          <t>Asignación de FECHA_APLICACION_OFERTA y parámetro de validez</t>
        </is>
      </c>
      <c r="D153" s="5" t="inlineStr">
        <is>
          <t>CU-27-1</t>
        </is>
      </c>
      <c r="E153" s="9" t="inlineStr">
        <is>
          <t>Vigencia &gt; Asignación</t>
        </is>
      </c>
      <c r="F153" s="9" t="inlineStr">
        <is>
          <t>Al asignar una oferta ganadora (FINAL), el expediente queda con FECHA_APLICACION_OFERTA igual a la fecha de aplicación de precios usada en la evaluación</t>
        </is>
      </c>
      <c r="G153" s="9" t="inlineStr">
        <is>
          <t>P1, FINAL con oferta ganadora; fecha de aplicación de precios = 2026-04-01</t>
        </is>
      </c>
      <c r="H153" s="9" t="inlineStr">
        <is>
          <t>El expediente queda con FECHA_APLICACION_OFERTA = 2026-04-01</t>
        </is>
      </c>
      <c r="I153" s="9" t="inlineStr"/>
      <c r="J153" s="14" t="inlineStr">
        <is>
          <t>Pendiente</t>
        </is>
      </c>
      <c r="K153" s="9" t="inlineStr"/>
      <c r="L153" s="9" t="inlineStr"/>
      <c r="M153" s="9" t="inlineStr"/>
    </row>
    <row r="154">
      <c r="A154" s="9" t="inlineStr">
        <is>
          <t>Vigencia de parámetros y fecha de aplicación de la oferta</t>
        </is>
      </c>
      <c r="B154" s="5" t="inlineStr">
        <is>
          <t>CU-27</t>
        </is>
      </c>
      <c r="C154" s="9" t="inlineStr">
        <is>
          <t>Asignación de FECHA_APLICACION_OFERTA y parámetro de validez</t>
        </is>
      </c>
      <c r="D154" s="5" t="inlineStr">
        <is>
          <t>CU-27-2</t>
        </is>
      </c>
      <c r="E154" s="9" t="inlineStr">
        <is>
          <t>Vigencia &gt; Parámetro</t>
        </is>
      </c>
      <c r="F154" s="9" t="inlineStr">
        <is>
          <t>El parámetro «Meses validez parámetros» existe, es configurable y se aplica al resimular</t>
        </is>
      </c>
      <c r="G154" s="9" t="inlineStr">
        <is>
          <t>Consultar/editar el parámetro en la configuración</t>
        </is>
      </c>
      <c r="H154" s="9" t="inlineStr">
        <is>
          <t>El parámetro es visible y editable; su valor se usa para calcular la ventana de validez en la resimulación</t>
        </is>
      </c>
      <c r="I154" s="9" t="inlineStr"/>
      <c r="J154" s="14" t="inlineStr">
        <is>
          <t>Pendiente</t>
        </is>
      </c>
      <c r="K154" s="9" t="inlineStr"/>
      <c r="L154" s="9" t="inlineStr"/>
      <c r="M154" s="9" t="inlineStr"/>
    </row>
    <row r="155">
      <c r="A155" s="9" t="inlineStr">
        <is>
          <t>Vigencia de parámetros y fecha de aplicación de la oferta</t>
        </is>
      </c>
      <c r="B155" s="5" t="inlineStr">
        <is>
          <t>CU-27</t>
        </is>
      </c>
      <c r="C155" s="9" t="inlineStr">
        <is>
          <t>Asignación de FECHA_APLICACION_OFERTA y parámetro de validez</t>
        </is>
      </c>
      <c r="D155" s="5" t="inlineStr">
        <is>
          <t>CU-27-3</t>
        </is>
      </c>
      <c r="E155" s="9" t="inlineStr">
        <is>
          <t>Vigencia &gt; Asignación</t>
        </is>
      </c>
      <c r="F155" s="9" t="inlineStr">
        <is>
          <t>En el alta inicial (sin oferta previa) FECHA_APLICACION_OFERTA se informa con la fecha de aplicación vigente</t>
        </is>
      </c>
      <c r="G155" s="9" t="inlineStr">
        <is>
          <t>Alta nueva de expediente P1; HOY = 2026-06-15</t>
        </is>
      </c>
      <c r="H155" s="9" t="inlineStr">
        <is>
          <t>FECHA_APLICACION_OFERTA queda informada con la fecha de aplicación vigente</t>
        </is>
      </c>
      <c r="I155" s="9" t="inlineStr"/>
      <c r="J155" s="14" t="inlineStr">
        <is>
          <t>Pendiente</t>
        </is>
      </c>
      <c r="K155" s="9" t="inlineStr"/>
      <c r="L155" s="9" t="inlineStr"/>
      <c r="M155" s="9" t="inlineStr"/>
    </row>
    <row r="156">
      <c r="A156" s="9" t="inlineStr">
        <is>
          <t>Vigencia de parámetros y fecha de aplicación de la oferta</t>
        </is>
      </c>
      <c r="B156" s="5" t="inlineStr">
        <is>
          <t>CU-28</t>
        </is>
      </c>
      <c r="C156" s="9" t="inlineStr">
        <is>
          <t>Resimulación con FECHA_APLICACION_OFERTA vigente (dentro de ventana)</t>
        </is>
      </c>
      <c r="D156" s="5" t="inlineStr">
        <is>
          <t>CU-28-1</t>
        </is>
      </c>
      <c r="E156" s="9" t="inlineStr">
        <is>
          <t>Vigencia &gt; Resim.</t>
        </is>
      </c>
      <c r="F156" s="9" t="inlineStr">
        <is>
          <t>Con FECHA_APLICACION_OFERTA posterior a la ventana, la resimulación usa las reglas/parámetros históricos de esa fecha, no los vigentes</t>
        </is>
      </c>
      <c r="G156" s="9" t="inlineStr">
        <is>
          <t>Expediente con FECHA_APLICACION_OFERTA = 2026-04-01 (&gt; 2026-03-15); existe una versión histórica de parámetros vigente en 2026-04-01 distinta de la actual</t>
        </is>
      </c>
      <c r="H156" s="9" t="inlineStr">
        <is>
          <t>El motor consulta la configuración de 2026-04-01; el resultado refleja los valores históricos</t>
        </is>
      </c>
      <c r="I156" s="9" t="inlineStr"/>
      <c r="J156" s="14" t="inlineStr">
        <is>
          <t>Pendiente</t>
        </is>
      </c>
      <c r="K156" s="9" t="inlineStr"/>
      <c r="L156" s="9" t="inlineStr"/>
      <c r="M156" s="9" t="inlineStr"/>
    </row>
    <row r="157">
      <c r="A157" s="9" t="inlineStr">
        <is>
          <t>Vigencia de parámetros y fecha de aplicación de la oferta</t>
        </is>
      </c>
      <c r="B157" s="5" t="inlineStr">
        <is>
          <t>CU-28</t>
        </is>
      </c>
      <c r="C157" s="9" t="inlineStr">
        <is>
          <t>Resimulación con FECHA_APLICACION_OFERTA vigente (dentro de ventana)</t>
        </is>
      </c>
      <c r="D157" s="5" t="inlineStr">
        <is>
          <t>CU-28-2</t>
        </is>
      </c>
      <c r="E157" s="9" t="inlineStr">
        <is>
          <t>Vigencia &gt; Resim.</t>
        </is>
      </c>
      <c r="F157" s="9" t="inlineStr">
        <is>
          <t>Tras resimular dentro de la ventana, FECHA_APLICACION_OFERTA no se modifica</t>
        </is>
      </c>
      <c r="G157" s="9" t="inlineStr">
        <is>
          <t>Continuación de CU-28-1</t>
        </is>
      </c>
      <c r="H157" s="9" t="inlineStr">
        <is>
          <t>El expediente conserva FECHA_APLICACION_OFERTA = 2026-04-01</t>
        </is>
      </c>
      <c r="I157" s="9" t="inlineStr"/>
      <c r="J157" s="14" t="inlineStr">
        <is>
          <t>Pendiente</t>
        </is>
      </c>
      <c r="K157" s="9" t="inlineStr"/>
      <c r="L157" s="9" t="inlineStr"/>
      <c r="M157" s="9" t="inlineStr"/>
    </row>
    <row r="158">
      <c r="A158" s="9" t="inlineStr">
        <is>
          <t>Vigencia de parámetros y fecha de aplicación de la oferta</t>
        </is>
      </c>
      <c r="B158" s="5" t="inlineStr">
        <is>
          <t>CU-28</t>
        </is>
      </c>
      <c r="C158" s="9" t="inlineStr">
        <is>
          <t>Resimulación con FECHA_APLICACION_OFERTA vigente (dentro de ventana)</t>
        </is>
      </c>
      <c r="D158" s="5" t="inlineStr">
        <is>
          <t>CU-28-3</t>
        </is>
      </c>
      <c r="E158" s="9" t="inlineStr">
        <is>
          <t>Vigencia &gt; Resim.</t>
        </is>
      </c>
      <c r="F158" s="9" t="inlineStr">
        <is>
          <t>Un cambio en los parámetros vigentes no afecta a la resimulación mientras la fecha siga dentro de la ventana</t>
        </is>
      </c>
      <c r="G158" s="9" t="inlineStr">
        <is>
          <t>Cambiar un parámetro vigente (p. ej. MAX_LTV de una oferta) tras la asignación; resimular con FECHA_APLICACION_OFERTA = 2026-04-01 aún vigente</t>
        </is>
      </c>
      <c r="H158" s="9" t="inlineStr">
        <is>
          <t>El resultado usa el valor histórico; el cambio vigente no se aplica</t>
        </is>
      </c>
      <c r="I158" s="9" t="inlineStr"/>
      <c r="J158" s="14" t="inlineStr">
        <is>
          <t>Pendiente</t>
        </is>
      </c>
      <c r="K158" s="9" t="inlineStr"/>
      <c r="L158" s="9" t="inlineStr"/>
      <c r="M158" s="9" t="inlineStr"/>
    </row>
    <row r="159">
      <c r="A159" s="9" t="inlineStr">
        <is>
          <t>Vigencia de parámetros y fecha de aplicación de la oferta</t>
        </is>
      </c>
      <c r="B159" s="5" t="inlineStr">
        <is>
          <t>CU-29</t>
        </is>
      </c>
      <c r="C159" s="9" t="inlineStr">
        <is>
          <t>Resimulación con FECHA_APLICACION_OFERTA caducada</t>
        </is>
      </c>
      <c r="D159" s="5" t="inlineStr">
        <is>
          <t>CU-29-1</t>
        </is>
      </c>
      <c r="E159" s="9" t="inlineStr">
        <is>
          <t>Vigencia &gt; Resim.</t>
        </is>
      </c>
      <c r="F159" s="9" t="inlineStr">
        <is>
          <t>Con FECHA_APLICACION_OFERTA caducada (≤ ventana), la resimulación usa las reglas/parámetros vigentes</t>
        </is>
      </c>
      <c r="G159" s="9" t="inlineStr">
        <is>
          <t>Expediente con FECHA_APLICACION_OFERTA = 2026-02-01 (&lt; 2026-03-15); resimular</t>
        </is>
      </c>
      <c r="H159" s="9" t="inlineStr">
        <is>
          <t>El motor consulta la configuración vigente (no la de 2026-02-01); el resultado refleja los valores actuales</t>
        </is>
      </c>
      <c r="I159" s="9" t="inlineStr"/>
      <c r="J159" s="14" t="inlineStr">
        <is>
          <t>Pendiente</t>
        </is>
      </c>
      <c r="K159" s="9" t="inlineStr"/>
      <c r="L159" s="9" t="inlineStr"/>
      <c r="M159" s="9" t="inlineStr"/>
    </row>
    <row r="160">
      <c r="A160" s="9" t="inlineStr">
        <is>
          <t>Vigencia de parámetros y fecha de aplicación de la oferta</t>
        </is>
      </c>
      <c r="B160" s="5" t="inlineStr">
        <is>
          <t>CU-29</t>
        </is>
      </c>
      <c r="C160" s="9" t="inlineStr">
        <is>
          <t>Resimulación con FECHA_APLICACION_OFERTA caducada</t>
        </is>
      </c>
      <c r="D160" s="5" t="inlineStr">
        <is>
          <t>CU-29-2</t>
        </is>
      </c>
      <c r="E160" s="9" t="inlineStr">
        <is>
          <t>Vigencia &gt; Resim.</t>
        </is>
      </c>
      <c r="F160" s="9" t="inlineStr">
        <is>
          <t>Tras resimular con fecha caducada, se reasigna FECHA_APLICACION_OFERTA a la fecha vigente</t>
        </is>
      </c>
      <c r="G160" s="9" t="inlineStr">
        <is>
          <t>Continuación de CU-29-1</t>
        </is>
      </c>
      <c r="H160" s="9" t="inlineStr">
        <is>
          <t>El expediente queda con FECHA_APLICACION_OFERTA = fecha de aplicación vigente (≈ HOY 2026-06-15)</t>
        </is>
      </c>
      <c r="I160" s="9" t="inlineStr"/>
      <c r="J160" s="14" t="inlineStr">
        <is>
          <t>Pendiente</t>
        </is>
      </c>
      <c r="K160" s="9" t="inlineStr"/>
      <c r="L160" s="9" t="inlineStr"/>
      <c r="M160" s="9" t="inlineStr"/>
    </row>
    <row r="161">
      <c r="A161" s="9" t="inlineStr">
        <is>
          <t>Vigencia de parámetros y fecha de aplicación de la oferta</t>
        </is>
      </c>
      <c r="B161" s="5" t="inlineStr">
        <is>
          <t>CU-29</t>
        </is>
      </c>
      <c r="C161" s="9" t="inlineStr">
        <is>
          <t>Resimulación con FECHA_APLICACION_OFERTA caducada</t>
        </is>
      </c>
      <c r="D161" s="5" t="inlineStr">
        <is>
          <t>CU-29-3</t>
        </is>
      </c>
      <c r="E161" s="9" t="inlineStr">
        <is>
          <t>Vigencia &gt; Límite</t>
        </is>
      </c>
      <c r="F161" s="9" t="inlineStr">
        <is>
          <t>Límite estricto: FECHA_APLICACION_OFERTA exactamente igual a la ventana se considera caducada</t>
        </is>
      </c>
      <c r="G161" s="9" t="inlineStr">
        <is>
          <t>FECHA_APLICACION_OFERTA = 2026-03-15 (= HOY − 3 meses); resimular</t>
        </is>
      </c>
      <c r="H161" s="9" t="inlineStr">
        <is>
          <t>Se trata como caducada: se usan parámetros vigentes y se reasigna la fecha</t>
        </is>
      </c>
      <c r="I161" s="9" t="inlineStr"/>
      <c r="J161" s="14" t="inlineStr">
        <is>
          <t>Pendiente</t>
        </is>
      </c>
      <c r="K161" s="9" t="inlineStr"/>
      <c r="L161" s="9" t="inlineStr"/>
      <c r="M161" s="9" t="inlineStr"/>
    </row>
    <row r="162">
      <c r="A162" s="9" t="inlineStr">
        <is>
          <t>Vigencia de parámetros y fecha de aplicación de la oferta</t>
        </is>
      </c>
      <c r="B162" s="5" t="inlineStr">
        <is>
          <t>CU-29</t>
        </is>
      </c>
      <c r="C162" s="9" t="inlineStr">
        <is>
          <t>Resimulación con FECHA_APLICACION_OFERTA caducada</t>
        </is>
      </c>
      <c r="D162" s="5" t="inlineStr">
        <is>
          <t>CU-29-4</t>
        </is>
      </c>
      <c r="E162" s="9" t="inlineStr">
        <is>
          <t>Vigencia &gt; Límite</t>
        </is>
      </c>
      <c r="F162" s="9" t="inlineStr">
        <is>
          <t>Límite estricto: FECHA_APLICACION_OFERTA un día posterior a la ventana sigue vigente</t>
        </is>
      </c>
      <c r="G162" s="9" t="inlineStr">
        <is>
          <t>FECHA_APLICACION_OFERTA = 2026-03-16 (= ventana + 1 día); resimular</t>
        </is>
      </c>
      <c r="H162" s="9" t="inlineStr">
        <is>
          <t>Se usan los parámetros históricos de 2026-03-16; la fecha no se reasigna</t>
        </is>
      </c>
      <c r="I162" s="9" t="inlineStr"/>
      <c r="J162" s="14" t="inlineStr">
        <is>
          <t>Pendiente</t>
        </is>
      </c>
      <c r="K162" s="9" t="inlineStr"/>
      <c r="L162" s="9" t="inlineStr"/>
      <c r="M162" s="9" t="inlineStr"/>
    </row>
    <row r="163">
      <c r="A163" s="9" t="inlineStr">
        <is>
          <t>Regresión</t>
        </is>
      </c>
      <c r="B163" s="5" t="inlineStr">
        <is>
          <t>CU-26</t>
        </is>
      </c>
      <c r="C163" s="9" t="inlineStr">
        <is>
          <t>Regresión</t>
        </is>
      </c>
      <c r="D163" s="5" t="inlineStr">
        <is>
          <t>CU-26-1</t>
        </is>
      </c>
      <c r="E163" s="9" t="inlineStr">
        <is>
          <t>Regresión</t>
        </is>
      </c>
      <c r="F163" s="9" t="inlineStr">
        <is>
          <t>El flujo de alta de expediente sin oferta Joven funciona igual que antes del despliegue</t>
        </is>
      </c>
      <c r="G163" s="9" t="inlineStr">
        <is>
          <t>tipoAlta = SUBROGACION, cliente sin antigüedad suficiente para CLIENTES</t>
        </is>
      </c>
      <c r="H163" s="9" t="inlineStr">
        <is>
          <t>No se genera error; el flujo continúa por las pantallas habituales</t>
        </is>
      </c>
      <c r="I163" s="9" t="inlineStr"/>
      <c r="J163" s="14" t="inlineStr">
        <is>
          <t>Pendiente</t>
        </is>
      </c>
      <c r="K163" s="9" t="inlineStr"/>
      <c r="L163" s="9" t="inlineStr"/>
      <c r="M163" s="9" t="inlineStr"/>
    </row>
    <row r="164">
      <c r="A164" s="9" t="inlineStr">
        <is>
          <t>Regresión</t>
        </is>
      </c>
      <c r="B164" s="5" t="inlineStr">
        <is>
          <t>CU-26</t>
        </is>
      </c>
      <c r="C164" s="9" t="inlineStr">
        <is>
          <t>Regresión</t>
        </is>
      </c>
      <c r="D164" s="5" t="inlineStr">
        <is>
          <t>CU-26-2</t>
        </is>
      </c>
      <c r="E164" s="9" t="inlineStr">
        <is>
          <t>Regresión</t>
        </is>
      </c>
      <c r="F164" s="9" t="inlineStr">
        <is>
          <t>Los expedientes en curso al momento del despliegue se abren y operan sin errores</t>
        </is>
      </c>
      <c r="G164" s="9" t="inlineStr">
        <is>
          <t>Abrir y editar un expediente creado antes del despliegue</t>
        </is>
      </c>
      <c r="H164" s="9" t="inlineStr">
        <is>
          <t>Los datos existentes cargan sin error; ningún campo previo se altera</t>
        </is>
      </c>
      <c r="I164" s="9" t="inlineStr"/>
      <c r="J164" s="14" t="inlineStr">
        <is>
          <t>Pendiente</t>
        </is>
      </c>
      <c r="K164" s="9" t="inlineStr"/>
      <c r="L164" s="9" t="inlineStr"/>
      <c r="M164" s="9" t="inlineStr"/>
    </row>
    <row r="165">
      <c r="A165" s="9" t="inlineStr">
        <is>
          <t>Regresión</t>
        </is>
      </c>
      <c r="B165" s="5" t="inlineStr">
        <is>
          <t>CU-26</t>
        </is>
      </c>
      <c r="C165" s="9" t="inlineStr">
        <is>
          <t>Regresión</t>
        </is>
      </c>
      <c r="D165" s="5" t="inlineStr">
        <is>
          <t>CU-26-3</t>
        </is>
      </c>
      <c r="E165" s="9" t="inlineStr">
        <is>
          <t>Regresión</t>
        </is>
      </c>
      <c r="F165" s="9" t="inlineStr">
        <is>
          <t>La pantalla de simulación para expedientes sin oferta Joven no muestra el panel económico ni la tabla de ofertas Joven</t>
        </is>
      </c>
      <c r="G165" s="9" t="inlineStr">
        <is>
          <t>Acceder al simulador de un expediente sin oferta Joven</t>
        </is>
      </c>
      <c r="H165" s="9" t="inlineStr">
        <is>
          <t>La UI muestra solo los campos habituales sin cambios visibles</t>
        </is>
      </c>
      <c r="I165" s="9" t="inlineStr"/>
      <c r="J165" s="14" t="inlineStr">
        <is>
          <t>Pendiente</t>
        </is>
      </c>
      <c r="K165" s="9" t="inlineStr"/>
      <c r="L165" s="9" t="inlineStr"/>
      <c r="M165" s="9" t="inlineStr"/>
    </row>
    <row r="166">
      <c r="A166" s="9" t="inlineStr">
        <is>
          <t>Regresión</t>
        </is>
      </c>
      <c r="B166" s="5" t="inlineStr">
        <is>
          <t>CU-26</t>
        </is>
      </c>
      <c r="C166" s="9" t="inlineStr">
        <is>
          <t>Regresión</t>
        </is>
      </c>
      <c r="D166" s="5" t="inlineStr">
        <is>
          <t>CU-26-4</t>
        </is>
      </c>
      <c r="E166" s="9" t="inlineStr">
        <is>
          <t>Regresión</t>
        </is>
      </c>
      <c r="F166" s="9" t="inlineStr">
        <is>
          <t>Las llamadas a Modellica para expedientes sin oferta Joven usan NumPagas = 14 y no incluyen campos Joven con valores incorrectos</t>
        </is>
      </c>
      <c r="G166" s="9" t="inlineStr">
        <is>
          <t>Expediente sin oferta Joven; ejecutar llamada a Modellica</t>
        </is>
      </c>
      <c r="H166" s="9" t="inlineStr">
        <is>
          <t>NumPagas = 14; el resto de campos preexistentes no varían</t>
        </is>
      </c>
      <c r="I166" s="9" t="inlineStr"/>
      <c r="J166" s="14" t="inlineStr">
        <is>
          <t>Pendiente</t>
        </is>
      </c>
      <c r="K166" s="9" t="inlineStr"/>
      <c r="L166" s="9" t="inlineStr"/>
      <c r="M166" s="9" t="inlineStr"/>
    </row>
    <row r="167">
      <c r="A167" s="9" t="inlineStr">
        <is>
          <t>Regresión</t>
        </is>
      </c>
      <c r="B167" s="5" t="inlineStr">
        <is>
          <t>CU-26</t>
        </is>
      </c>
      <c r="C167" s="9" t="inlineStr">
        <is>
          <t>Regresión</t>
        </is>
      </c>
      <c r="D167" s="5" t="inlineStr">
        <is>
          <t>CU-26-5</t>
        </is>
      </c>
      <c r="E167" s="9" t="inlineStr">
        <is>
          <t>Regresión</t>
        </is>
      </c>
      <c r="F167" s="9" t="inlineStr">
        <is>
          <t>Los ficheros de exportación del día del despliegue incluyen los expedientes previos con los nuevos campos a nulo</t>
        </is>
      </c>
      <c r="G167" s="9" t="inlineStr">
        <is>
          <t>Ejecutar exportaciones el día del despliegue</t>
        </is>
      </c>
      <c r="H167" s="9" t="inlineStr">
        <is>
          <t>Los expedientes previos aparecen en los ficheros; las nuevas columnas quedan en nulo o vacío</t>
        </is>
      </c>
      <c r="I167" s="9" t="inlineStr"/>
      <c r="J167" s="14" t="inlineStr">
        <is>
          <t>Pendiente</t>
        </is>
      </c>
      <c r="K167" s="9" t="inlineStr"/>
      <c r="L167" s="9" t="inlineStr"/>
      <c r="M167" s="9" t="inlineStr"/>
    </row>
    <row r="168">
      <c r="A168" s="9" t="inlineStr">
        <is>
          <t>Regresión</t>
        </is>
      </c>
      <c r="B168" s="5" t="inlineStr">
        <is>
          <t>CU-26</t>
        </is>
      </c>
      <c r="C168" s="9" t="inlineStr">
        <is>
          <t>Regresión</t>
        </is>
      </c>
      <c r="D168" s="5" t="inlineStr">
        <is>
          <t>CU-26-6</t>
        </is>
      </c>
      <c r="E168" s="9" t="inlineStr">
        <is>
          <t>Regresión</t>
        </is>
      </c>
      <c r="F168" s="9" t="inlineStr">
        <is>
          <t>La generación de documentos para hipotecas sin oferta Joven no genera errores aunque falten los nuevos campos</t>
        </is>
      </c>
      <c r="G168" s="9" t="inlineStr">
        <is>
          <t>Generar documento para expediente sin oferta Joven</t>
        </is>
      </c>
      <c r="H168" s="9" t="inlineStr">
        <is>
          <t>El documento se genera correctamente; los nuevos campos (edadMaxima, edadMasPlazo, importeMinimoCcaa) quedan vacíos o se omiten sin error</t>
        </is>
      </c>
      <c r="I168" s="9" t="inlineStr"/>
      <c r="J168" s="14" t="inlineStr">
        <is>
          <t>Pendiente</t>
        </is>
      </c>
      <c r="K168" s="9" t="inlineStr"/>
      <c r="L168" s="9" t="inlineStr"/>
      <c r="M168" s="9" t="inlineStr"/>
    </row>
    <row r="169">
      <c r="A169" s="9" t="inlineStr">
        <is>
          <t>Regresión</t>
        </is>
      </c>
      <c r="B169" s="5" t="inlineStr">
        <is>
          <t>CU-26</t>
        </is>
      </c>
      <c r="C169" s="9" t="inlineStr">
        <is>
          <t>Regresión</t>
        </is>
      </c>
      <c r="D169" s="5" t="inlineStr">
        <is>
          <t>CU-26-7</t>
        </is>
      </c>
      <c r="E169" s="9" t="inlineStr">
        <is>
          <t>Regresión</t>
        </is>
      </c>
      <c r="F169" s="9" t="inlineStr">
        <is>
          <t>El servicio AltaHipoteca funciona correctamente cuando primeraViviendaHabitualFl no se envía</t>
        </is>
      </c>
      <c r="G169" s="9" t="inlineStr">
        <is>
          <t>Llamar a AltaHipoteca sin el nuevo campo</t>
        </is>
      </c>
      <c r="H169" s="9" t="inlineStr">
        <is>
          <t>El servicio responde sin error</t>
        </is>
      </c>
      <c r="I169" s="9" t="inlineStr"/>
      <c r="J169" s="14" t="inlineStr">
        <is>
          <t>Pendiente</t>
        </is>
      </c>
      <c r="K169" s="9" t="inlineStr"/>
      <c r="L169" s="9" t="inlineStr"/>
      <c r="M169" s="9" t="inlineStr"/>
    </row>
    <row r="170">
      <c r="A170" s="9" t="inlineStr">
        <is>
          <t>Regresión</t>
        </is>
      </c>
      <c r="B170" s="5" t="inlineStr">
        <is>
          <t>CU-26</t>
        </is>
      </c>
      <c r="C170" s="9" t="inlineStr">
        <is>
          <t>Regresión</t>
        </is>
      </c>
      <c r="D170" s="5" t="inlineStr">
        <is>
          <t>CU-26-8</t>
        </is>
      </c>
      <c r="E170" s="9" t="inlineStr">
        <is>
          <t>Regresión</t>
        </is>
      </c>
      <c r="F170" s="9" t="inlineStr">
        <is>
          <t>La pantalla de datos del expediente carga sin errores para expedientes creados antes del despliegue</t>
        </is>
      </c>
      <c r="G170" s="9" t="inlineStr">
        <is>
          <t>Abrir datos de un expediente antiguo</t>
        </is>
      </c>
      <c r="H170" s="9" t="inlineStr">
        <is>
          <t>La pantalla carga; el campo primeraViviendaHabitualFl aparece vacío o N/A sin provocar error</t>
        </is>
      </c>
      <c r="I170" s="9" t="inlineStr"/>
      <c r="J170" s="14" t="inlineStr">
        <is>
          <t>Pendiente</t>
        </is>
      </c>
      <c r="K170" s="9" t="inlineStr"/>
      <c r="L170" s="9" t="inlineStr"/>
      <c r="M170" s="9" t="inlineStr"/>
    </row>
  </sheetData>
  <autoFilter ref="A1:M170"/>
  <conditionalFormatting sqref="J2:J17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"Pendiente"</formula>
    </cfRule>
  </conditionalFormatting>
  <dataValidations count="1">
    <dataValidation sqref="J2:J170" showDropDown="0" showInputMessage="0" showErrorMessage="0" allowBlank="0" errorTitle="Estado no válido" error="Valores: Pendiente, OK, KO" type="list">
      <formula1>"Pendiente,OK,KO"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2026-06-15T11:40:58Z</dcterms:created>
  <dcterms:modified xsi:type="dcterms:W3CDTF">2026-06-15T11:40:58Z</dcterms:modified>
</cp:coreProperties>
</file>